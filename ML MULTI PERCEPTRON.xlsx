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Downloads\SEMESTER 4\Machine Learning\"/>
    </mc:Choice>
  </mc:AlternateContent>
  <xr:revisionPtr revIDLastSave="0" documentId="13_ncr:1_{0F36754C-D403-4F2F-817D-E73311B63AEC}" xr6:coauthVersionLast="47" xr6:coauthVersionMax="47" xr10:uidLastSave="{00000000-0000-0000-0000-000000000000}"/>
  <bookViews>
    <workbookView xWindow="-108" yWindow="-108" windowWidth="23256" windowHeight="12456" activeTab="1" xr2:uid="{8266FD33-3148-4728-8783-5468D6C78399}"/>
  </bookViews>
  <sheets>
    <sheet name="Sheet1" sheetId="1" r:id="rId1"/>
    <sheet name="Sheet3"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1" i="3" l="1"/>
  <c r="U13" i="3"/>
  <c r="U12" i="3"/>
  <c r="U11" i="3"/>
  <c r="U10" i="3"/>
  <c r="U9" i="3"/>
  <c r="U8" i="3"/>
  <c r="U7" i="3"/>
  <c r="U6" i="3"/>
  <c r="U5" i="3"/>
  <c r="U4" i="3"/>
  <c r="W9" i="3"/>
  <c r="T140" i="3"/>
  <c r="S140" i="3"/>
  <c r="R140" i="3"/>
  <c r="Q140" i="3"/>
  <c r="P140" i="3"/>
  <c r="D141" i="3" s="1"/>
  <c r="E141" i="3" s="1"/>
  <c r="F141" i="3" s="1"/>
  <c r="G141" i="3" s="1"/>
  <c r="T125" i="3"/>
  <c r="S125" i="3"/>
  <c r="R125" i="3"/>
  <c r="Q125" i="3"/>
  <c r="P125" i="3"/>
  <c r="T110" i="3"/>
  <c r="S110" i="3"/>
  <c r="R110" i="3"/>
  <c r="Q110" i="3"/>
  <c r="P110" i="3"/>
  <c r="D111" i="3" s="1"/>
  <c r="E111" i="3" s="1"/>
  <c r="P95" i="3"/>
  <c r="T95" i="3"/>
  <c r="S95" i="3"/>
  <c r="R95" i="3"/>
  <c r="Q95" i="3"/>
  <c r="P80" i="3"/>
  <c r="P50" i="3"/>
  <c r="P51" i="3"/>
  <c r="P35" i="3"/>
  <c r="P36" i="3"/>
  <c r="Q20" i="3"/>
  <c r="P20" i="3"/>
  <c r="D4" i="3"/>
  <c r="E4" i="3" s="1"/>
  <c r="D16" i="1"/>
  <c r="E16" i="1" s="1"/>
  <c r="F16" i="1" s="1"/>
  <c r="G16" i="1" s="1"/>
  <c r="D4" i="1"/>
  <c r="E4" i="1" s="1"/>
  <c r="F4" i="1" s="1"/>
  <c r="G4" i="1" s="1"/>
  <c r="H141" i="3" l="1"/>
  <c r="D126" i="3"/>
  <c r="E126" i="3" s="1"/>
  <c r="F126" i="3" s="1"/>
  <c r="G126" i="3" s="1"/>
  <c r="F111" i="3"/>
  <c r="G111" i="3" s="1"/>
  <c r="D96" i="3"/>
  <c r="E96" i="3" s="1"/>
  <c r="F96" i="3" s="1"/>
  <c r="G96" i="3" s="1"/>
  <c r="F4" i="3"/>
  <c r="G4" i="3" s="1"/>
  <c r="H4" i="1"/>
  <c r="H16" i="1"/>
  <c r="K141" i="3" l="1"/>
  <c r="L141" i="3" s="1"/>
  <c r="J141" i="3"/>
  <c r="T141" i="3" s="1"/>
  <c r="I141" i="3"/>
  <c r="S141" i="3" s="1"/>
  <c r="H126" i="3"/>
  <c r="H111" i="3"/>
  <c r="H96" i="3"/>
  <c r="H4" i="3"/>
  <c r="K4" i="3" s="1"/>
  <c r="L4" i="3" s="1"/>
  <c r="K4" i="1"/>
  <c r="L4" i="1" s="1"/>
  <c r="J4" i="1"/>
  <c r="T4" i="1" s="1"/>
  <c r="I4" i="1"/>
  <c r="S4" i="1" s="1"/>
  <c r="I16" i="1"/>
  <c r="S16" i="1" s="1"/>
  <c r="J16" i="1"/>
  <c r="T16" i="1" s="1"/>
  <c r="K16" i="1"/>
  <c r="L16" i="1" s="1"/>
  <c r="M141" i="3" l="1"/>
  <c r="P141" i="3" s="1"/>
  <c r="N141" i="3"/>
  <c r="Q141" i="3" s="1"/>
  <c r="O141" i="3"/>
  <c r="R141" i="3" s="1"/>
  <c r="I126" i="3"/>
  <c r="S126" i="3" s="1"/>
  <c r="K126" i="3"/>
  <c r="L126" i="3" s="1"/>
  <c r="J126" i="3"/>
  <c r="T126" i="3" s="1"/>
  <c r="I111" i="3"/>
  <c r="S111" i="3" s="1"/>
  <c r="K111" i="3"/>
  <c r="L111" i="3" s="1"/>
  <c r="J111" i="3"/>
  <c r="T111" i="3" s="1"/>
  <c r="J96" i="3"/>
  <c r="T96" i="3" s="1"/>
  <c r="I96" i="3"/>
  <c r="S96" i="3" s="1"/>
  <c r="K96" i="3"/>
  <c r="L96" i="3" s="1"/>
  <c r="J4" i="3"/>
  <c r="T4" i="3" s="1"/>
  <c r="I4" i="3"/>
  <c r="S4" i="3" s="1"/>
  <c r="O4" i="3"/>
  <c r="R4" i="3" s="1"/>
  <c r="M4" i="3"/>
  <c r="P4" i="3" s="1"/>
  <c r="N4" i="3"/>
  <c r="Q4" i="3" s="1"/>
  <c r="O4" i="1"/>
  <c r="R4" i="1" s="1"/>
  <c r="N4" i="1"/>
  <c r="Q4" i="1" s="1"/>
  <c r="M4" i="1"/>
  <c r="P4" i="1" s="1"/>
  <c r="O16" i="1"/>
  <c r="R16" i="1" s="1"/>
  <c r="M16" i="1"/>
  <c r="P16" i="1" s="1"/>
  <c r="N16" i="1"/>
  <c r="Q16" i="1" s="1"/>
  <c r="D142" i="3" l="1"/>
  <c r="E142" i="3" s="1"/>
  <c r="F142" i="3" s="1"/>
  <c r="G142" i="3" s="1"/>
  <c r="N126" i="3"/>
  <c r="Q126" i="3" s="1"/>
  <c r="M126" i="3"/>
  <c r="P126" i="3" s="1"/>
  <c r="O126" i="3"/>
  <c r="R126" i="3" s="1"/>
  <c r="N111" i="3"/>
  <c r="Q111" i="3" s="1"/>
  <c r="M111" i="3"/>
  <c r="P111" i="3" s="1"/>
  <c r="O111" i="3"/>
  <c r="R111" i="3" s="1"/>
  <c r="N96" i="3"/>
  <c r="Q96" i="3" s="1"/>
  <c r="M96" i="3"/>
  <c r="P96" i="3" s="1"/>
  <c r="O96" i="3"/>
  <c r="R96" i="3" s="1"/>
  <c r="D5" i="3"/>
  <c r="E5" i="3" s="1"/>
  <c r="F5" i="3" s="1"/>
  <c r="G5" i="3" s="1"/>
  <c r="D5" i="1"/>
  <c r="E5" i="1" s="1"/>
  <c r="F5" i="1" s="1"/>
  <c r="G5" i="1" s="1"/>
  <c r="D17" i="1"/>
  <c r="E17" i="1" s="1"/>
  <c r="F17" i="1" s="1"/>
  <c r="G17" i="1" s="1"/>
  <c r="H142" i="3" l="1"/>
  <c r="D127" i="3"/>
  <c r="E127" i="3" s="1"/>
  <c r="F127" i="3" s="1"/>
  <c r="G127" i="3" s="1"/>
  <c r="D112" i="3"/>
  <c r="E112" i="3" s="1"/>
  <c r="F112" i="3" s="1"/>
  <c r="G112" i="3" s="1"/>
  <c r="D97" i="3"/>
  <c r="E97" i="3" s="1"/>
  <c r="F97" i="3" s="1"/>
  <c r="G97" i="3" s="1"/>
  <c r="H5" i="3"/>
  <c r="I5" i="3" s="1"/>
  <c r="S5" i="3" s="1"/>
  <c r="H5" i="1"/>
  <c r="H17" i="1"/>
  <c r="K142" i="3" l="1"/>
  <c r="L142" i="3" s="1"/>
  <c r="J142" i="3"/>
  <c r="T142" i="3" s="1"/>
  <c r="I142" i="3"/>
  <c r="S142" i="3" s="1"/>
  <c r="H127" i="3"/>
  <c r="H112" i="3"/>
  <c r="H97" i="3"/>
  <c r="K5" i="3"/>
  <c r="L5" i="3" s="1"/>
  <c r="M5" i="3" s="1"/>
  <c r="P5" i="3" s="1"/>
  <c r="J5" i="3"/>
  <c r="T5" i="3" s="1"/>
  <c r="I5" i="1"/>
  <c r="S5" i="1" s="1"/>
  <c r="J5" i="1"/>
  <c r="T5" i="1" s="1"/>
  <c r="K5" i="1"/>
  <c r="L5" i="1" s="1"/>
  <c r="K17" i="1"/>
  <c r="L17" i="1" s="1"/>
  <c r="I17" i="1"/>
  <c r="S17" i="1" s="1"/>
  <c r="J17" i="1"/>
  <c r="T17" i="1" s="1"/>
  <c r="M142" i="3" l="1"/>
  <c r="P142" i="3" s="1"/>
  <c r="N142" i="3"/>
  <c r="Q142" i="3" s="1"/>
  <c r="O142" i="3"/>
  <c r="R142" i="3" s="1"/>
  <c r="J127" i="3"/>
  <c r="T127" i="3" s="1"/>
  <c r="K127" i="3"/>
  <c r="L127" i="3" s="1"/>
  <c r="I127" i="3"/>
  <c r="S127" i="3" s="1"/>
  <c r="I112" i="3"/>
  <c r="S112" i="3" s="1"/>
  <c r="K112" i="3"/>
  <c r="L112" i="3" s="1"/>
  <c r="J112" i="3"/>
  <c r="T112" i="3" s="1"/>
  <c r="I97" i="3"/>
  <c r="S97" i="3" s="1"/>
  <c r="K97" i="3"/>
  <c r="L97" i="3" s="1"/>
  <c r="J97" i="3"/>
  <c r="T97" i="3" s="1"/>
  <c r="O5" i="3"/>
  <c r="R5" i="3" s="1"/>
  <c r="N5" i="3"/>
  <c r="Q5" i="3" s="1"/>
  <c r="O5" i="1"/>
  <c r="R5" i="1" s="1"/>
  <c r="M5" i="1"/>
  <c r="P5" i="1" s="1"/>
  <c r="N5" i="1"/>
  <c r="Q5" i="1" s="1"/>
  <c r="O17" i="1"/>
  <c r="R17" i="1" s="1"/>
  <c r="N17" i="1"/>
  <c r="Q17" i="1" s="1"/>
  <c r="M17" i="1"/>
  <c r="P17" i="1" s="1"/>
  <c r="D143" i="3" l="1"/>
  <c r="E143" i="3" s="1"/>
  <c r="F143" i="3" s="1"/>
  <c r="G143" i="3" s="1"/>
  <c r="M127" i="3"/>
  <c r="P127" i="3" s="1"/>
  <c r="N127" i="3"/>
  <c r="Q127" i="3" s="1"/>
  <c r="O127" i="3"/>
  <c r="R127" i="3" s="1"/>
  <c r="M112" i="3"/>
  <c r="P112" i="3" s="1"/>
  <c r="N112" i="3"/>
  <c r="Q112" i="3" s="1"/>
  <c r="O112" i="3"/>
  <c r="R112" i="3" s="1"/>
  <c r="M97" i="3"/>
  <c r="P97" i="3" s="1"/>
  <c r="O97" i="3"/>
  <c r="R97" i="3" s="1"/>
  <c r="N97" i="3"/>
  <c r="Q97" i="3" s="1"/>
  <c r="D6" i="3"/>
  <c r="E6" i="3" s="1"/>
  <c r="F6" i="3" s="1"/>
  <c r="G6" i="3" s="1"/>
  <c r="H6" i="3" s="1"/>
  <c r="K6" i="3" s="1"/>
  <c r="L6" i="3" s="1"/>
  <c r="N6" i="3" s="1"/>
  <c r="Q6" i="3" s="1"/>
  <c r="D6" i="1"/>
  <c r="E6" i="1" s="1"/>
  <c r="F6" i="1" s="1"/>
  <c r="G6" i="1" s="1"/>
  <c r="D18" i="1"/>
  <c r="E18" i="1" s="1"/>
  <c r="F18" i="1" s="1"/>
  <c r="G18" i="1" s="1"/>
  <c r="H143" i="3" l="1"/>
  <c r="D128" i="3"/>
  <c r="E128" i="3" s="1"/>
  <c r="F128" i="3" s="1"/>
  <c r="G128" i="3" s="1"/>
  <c r="D113" i="3"/>
  <c r="E113" i="3" s="1"/>
  <c r="F113" i="3" s="1"/>
  <c r="G113" i="3" s="1"/>
  <c r="D98" i="3"/>
  <c r="E98" i="3" s="1"/>
  <c r="F98" i="3" s="1"/>
  <c r="G98" i="3" s="1"/>
  <c r="I6" i="3"/>
  <c r="S6" i="3" s="1"/>
  <c r="M6" i="3"/>
  <c r="P6" i="3" s="1"/>
  <c r="O6" i="3"/>
  <c r="R6" i="3" s="1"/>
  <c r="J6" i="3"/>
  <c r="T6" i="3" s="1"/>
  <c r="H6" i="1"/>
  <c r="H18" i="1"/>
  <c r="J143" i="3" l="1"/>
  <c r="T143" i="3" s="1"/>
  <c r="K143" i="3"/>
  <c r="L143" i="3" s="1"/>
  <c r="I143" i="3"/>
  <c r="S143" i="3" s="1"/>
  <c r="H128" i="3"/>
  <c r="H113" i="3"/>
  <c r="H98" i="3"/>
  <c r="D7" i="3"/>
  <c r="E7" i="3" s="1"/>
  <c r="F7" i="3" s="1"/>
  <c r="G7" i="3" s="1"/>
  <c r="H7" i="3" s="1"/>
  <c r="K6" i="1"/>
  <c r="L6" i="1" s="1"/>
  <c r="I6" i="1"/>
  <c r="S6" i="1" s="1"/>
  <c r="J6" i="1"/>
  <c r="T6" i="1" s="1"/>
  <c r="K18" i="1"/>
  <c r="L18" i="1" s="1"/>
  <c r="J18" i="1"/>
  <c r="T18" i="1" s="1"/>
  <c r="I18" i="1"/>
  <c r="S18" i="1" s="1"/>
  <c r="M143" i="3" l="1"/>
  <c r="P143" i="3" s="1"/>
  <c r="O143" i="3"/>
  <c r="R143" i="3" s="1"/>
  <c r="N143" i="3"/>
  <c r="Q143" i="3" s="1"/>
  <c r="K128" i="3"/>
  <c r="L128" i="3" s="1"/>
  <c r="I128" i="3"/>
  <c r="S128" i="3" s="1"/>
  <c r="J128" i="3"/>
  <c r="T128" i="3" s="1"/>
  <c r="K113" i="3"/>
  <c r="L113" i="3" s="1"/>
  <c r="J113" i="3"/>
  <c r="T113" i="3" s="1"/>
  <c r="I113" i="3"/>
  <c r="S113" i="3" s="1"/>
  <c r="K98" i="3"/>
  <c r="L98" i="3" s="1"/>
  <c r="J98" i="3"/>
  <c r="T98" i="3" s="1"/>
  <c r="I98" i="3"/>
  <c r="S98" i="3" s="1"/>
  <c r="J7" i="3"/>
  <c r="T7" i="3" s="1"/>
  <c r="I7" i="3"/>
  <c r="S7" i="3" s="1"/>
  <c r="K7" i="3"/>
  <c r="L7" i="3" s="1"/>
  <c r="M7" i="3" s="1"/>
  <c r="P7" i="3" s="1"/>
  <c r="M6" i="1"/>
  <c r="P6" i="1" s="1"/>
  <c r="N6" i="1"/>
  <c r="Q6" i="1" s="1"/>
  <c r="O6" i="1"/>
  <c r="R6" i="1" s="1"/>
  <c r="N18" i="1"/>
  <c r="Q18" i="1" s="1"/>
  <c r="M18" i="1"/>
  <c r="P18" i="1" s="1"/>
  <c r="O18" i="1"/>
  <c r="R18" i="1" s="1"/>
  <c r="D144" i="3" l="1"/>
  <c r="E144" i="3" s="1"/>
  <c r="F144" i="3" s="1"/>
  <c r="G144" i="3" s="1"/>
  <c r="M128" i="3"/>
  <c r="P128" i="3" s="1"/>
  <c r="N128" i="3"/>
  <c r="Q128" i="3" s="1"/>
  <c r="O128" i="3"/>
  <c r="R128" i="3" s="1"/>
  <c r="M113" i="3"/>
  <c r="P113" i="3" s="1"/>
  <c r="O113" i="3"/>
  <c r="R113" i="3" s="1"/>
  <c r="N113" i="3"/>
  <c r="Q113" i="3" s="1"/>
  <c r="O98" i="3"/>
  <c r="R98" i="3" s="1"/>
  <c r="N98" i="3"/>
  <c r="Q98" i="3" s="1"/>
  <c r="M98" i="3"/>
  <c r="P98" i="3" s="1"/>
  <c r="O7" i="3"/>
  <c r="R7" i="3" s="1"/>
  <c r="N7" i="3"/>
  <c r="Q7" i="3" s="1"/>
  <c r="D7" i="1"/>
  <c r="E7" i="1" s="1"/>
  <c r="F7" i="1" s="1"/>
  <c r="G7" i="1" s="1"/>
  <c r="D19" i="1"/>
  <c r="E19" i="1" s="1"/>
  <c r="F19" i="1" s="1"/>
  <c r="G19" i="1" s="1"/>
  <c r="H144" i="3" l="1"/>
  <c r="D129" i="3"/>
  <c r="E129" i="3" s="1"/>
  <c r="F129" i="3" s="1"/>
  <c r="G129" i="3" s="1"/>
  <c r="D114" i="3"/>
  <c r="E114" i="3" s="1"/>
  <c r="F114" i="3" s="1"/>
  <c r="G114" i="3" s="1"/>
  <c r="D99" i="3"/>
  <c r="E99" i="3" s="1"/>
  <c r="F99" i="3" s="1"/>
  <c r="G99" i="3" s="1"/>
  <c r="D8" i="3"/>
  <c r="E8" i="3" s="1"/>
  <c r="F8" i="3" s="1"/>
  <c r="G8" i="3" s="1"/>
  <c r="H8" i="3" s="1"/>
  <c r="I8" i="3" s="1"/>
  <c r="S8" i="3" s="1"/>
  <c r="H7" i="1"/>
  <c r="U7" i="1"/>
  <c r="H19" i="1"/>
  <c r="U19" i="1"/>
  <c r="I144" i="3" l="1"/>
  <c r="S144" i="3" s="1"/>
  <c r="J144" i="3"/>
  <c r="T144" i="3" s="1"/>
  <c r="K144" i="3"/>
  <c r="L144" i="3" s="1"/>
  <c r="H129" i="3"/>
  <c r="H114" i="3"/>
  <c r="H99" i="3"/>
  <c r="J8" i="3"/>
  <c r="T8" i="3" s="1"/>
  <c r="K8" i="3"/>
  <c r="L8" i="3" s="1"/>
  <c r="M8" i="3" s="1"/>
  <c r="P8" i="3" s="1"/>
  <c r="J7" i="1"/>
  <c r="T7" i="1" s="1"/>
  <c r="K7" i="1"/>
  <c r="L7" i="1" s="1"/>
  <c r="I7" i="1"/>
  <c r="S7" i="1" s="1"/>
  <c r="J19" i="1"/>
  <c r="T19" i="1" s="1"/>
  <c r="K19" i="1"/>
  <c r="L19" i="1" s="1"/>
  <c r="I19" i="1"/>
  <c r="S19" i="1" s="1"/>
  <c r="N144" i="3" l="1"/>
  <c r="Q144" i="3" s="1"/>
  <c r="O144" i="3"/>
  <c r="R144" i="3" s="1"/>
  <c r="M144" i="3"/>
  <c r="P144" i="3" s="1"/>
  <c r="K129" i="3"/>
  <c r="L129" i="3" s="1"/>
  <c r="J129" i="3"/>
  <c r="T129" i="3" s="1"/>
  <c r="I129" i="3"/>
  <c r="S129" i="3" s="1"/>
  <c r="K114" i="3"/>
  <c r="L114" i="3" s="1"/>
  <c r="J114" i="3"/>
  <c r="T114" i="3" s="1"/>
  <c r="I114" i="3"/>
  <c r="S114" i="3" s="1"/>
  <c r="K99" i="3"/>
  <c r="L99" i="3" s="1"/>
  <c r="J99" i="3"/>
  <c r="T99" i="3" s="1"/>
  <c r="I99" i="3"/>
  <c r="S99" i="3" s="1"/>
  <c r="N8" i="3"/>
  <c r="Q8" i="3" s="1"/>
  <c r="O8" i="3"/>
  <c r="R8" i="3" s="1"/>
  <c r="O7" i="1"/>
  <c r="R7" i="1" s="1"/>
  <c r="M7" i="1"/>
  <c r="P7" i="1" s="1"/>
  <c r="N7" i="1"/>
  <c r="Q7" i="1" s="1"/>
  <c r="M19" i="1"/>
  <c r="P19" i="1" s="1"/>
  <c r="N19" i="1"/>
  <c r="Q19" i="1" s="1"/>
  <c r="O19" i="1"/>
  <c r="R19" i="1" s="1"/>
  <c r="D145" i="3" l="1"/>
  <c r="E145" i="3" s="1"/>
  <c r="F145" i="3" s="1"/>
  <c r="G145" i="3" s="1"/>
  <c r="M129" i="3"/>
  <c r="P129" i="3" s="1"/>
  <c r="N129" i="3"/>
  <c r="Q129" i="3" s="1"/>
  <c r="O129" i="3"/>
  <c r="R129" i="3" s="1"/>
  <c r="O114" i="3"/>
  <c r="R114" i="3" s="1"/>
  <c r="N114" i="3"/>
  <c r="Q114" i="3" s="1"/>
  <c r="M114" i="3"/>
  <c r="P114" i="3" s="1"/>
  <c r="O99" i="3"/>
  <c r="R99" i="3" s="1"/>
  <c r="N99" i="3"/>
  <c r="Q99" i="3" s="1"/>
  <c r="M99" i="3"/>
  <c r="P99" i="3" s="1"/>
  <c r="D9" i="3"/>
  <c r="E9" i="3" s="1"/>
  <c r="F9" i="3" s="1"/>
  <c r="G9" i="3" s="1"/>
  <c r="H9" i="3" s="1"/>
  <c r="I9" i="3" s="1"/>
  <c r="S9" i="3" s="1"/>
  <c r="H145" i="3" l="1"/>
  <c r="D130" i="3"/>
  <c r="E130" i="3" s="1"/>
  <c r="F130" i="3" s="1"/>
  <c r="G130" i="3" s="1"/>
  <c r="D115" i="3"/>
  <c r="E115" i="3" s="1"/>
  <c r="F115" i="3" s="1"/>
  <c r="G115" i="3" s="1"/>
  <c r="D100" i="3"/>
  <c r="E100" i="3" s="1"/>
  <c r="F100" i="3" s="1"/>
  <c r="G100" i="3" s="1"/>
  <c r="K9" i="3"/>
  <c r="L9" i="3" s="1"/>
  <c r="M9" i="3" s="1"/>
  <c r="P9" i="3" s="1"/>
  <c r="J9" i="3"/>
  <c r="T9" i="3" s="1"/>
  <c r="I145" i="3" l="1"/>
  <c r="S145" i="3" s="1"/>
  <c r="J145" i="3"/>
  <c r="T145" i="3" s="1"/>
  <c r="K145" i="3"/>
  <c r="L145" i="3" s="1"/>
  <c r="H130" i="3"/>
  <c r="H115" i="3"/>
  <c r="H100" i="3"/>
  <c r="N9" i="3"/>
  <c r="Q9" i="3" s="1"/>
  <c r="O9" i="3"/>
  <c r="R9" i="3" s="1"/>
  <c r="O145" i="3" l="1"/>
  <c r="R145" i="3" s="1"/>
  <c r="N145" i="3"/>
  <c r="Q145" i="3" s="1"/>
  <c r="M145" i="3"/>
  <c r="P145" i="3" s="1"/>
  <c r="I130" i="3"/>
  <c r="S130" i="3" s="1"/>
  <c r="K130" i="3"/>
  <c r="L130" i="3" s="1"/>
  <c r="J130" i="3"/>
  <c r="T130" i="3" s="1"/>
  <c r="I115" i="3"/>
  <c r="S115" i="3" s="1"/>
  <c r="K115" i="3"/>
  <c r="L115" i="3" s="1"/>
  <c r="J115" i="3"/>
  <c r="T115" i="3" s="1"/>
  <c r="I100" i="3"/>
  <c r="S100" i="3" s="1"/>
  <c r="K100" i="3"/>
  <c r="L100" i="3" s="1"/>
  <c r="J100" i="3"/>
  <c r="T100" i="3" s="1"/>
  <c r="D10" i="3"/>
  <c r="E10" i="3" s="1"/>
  <c r="F10" i="3" s="1"/>
  <c r="G10" i="3" s="1"/>
  <c r="H10" i="3" s="1"/>
  <c r="I10" i="3" s="1"/>
  <c r="S10" i="3" s="1"/>
  <c r="D146" i="3" l="1"/>
  <c r="E146" i="3" s="1"/>
  <c r="F146" i="3" s="1"/>
  <c r="G146" i="3" s="1"/>
  <c r="O130" i="3"/>
  <c r="R130" i="3" s="1"/>
  <c r="N130" i="3"/>
  <c r="Q130" i="3" s="1"/>
  <c r="M130" i="3"/>
  <c r="P130" i="3" s="1"/>
  <c r="O115" i="3"/>
  <c r="R115" i="3" s="1"/>
  <c r="N115" i="3"/>
  <c r="Q115" i="3" s="1"/>
  <c r="M115" i="3"/>
  <c r="P115" i="3" s="1"/>
  <c r="M100" i="3"/>
  <c r="P100" i="3" s="1"/>
  <c r="O100" i="3"/>
  <c r="R100" i="3" s="1"/>
  <c r="N100" i="3"/>
  <c r="Q100" i="3" s="1"/>
  <c r="K10" i="3"/>
  <c r="L10" i="3" s="1"/>
  <c r="O10" i="3" s="1"/>
  <c r="R10" i="3" s="1"/>
  <c r="J10" i="3"/>
  <c r="T10" i="3" s="1"/>
  <c r="H146" i="3" l="1"/>
  <c r="D131" i="3"/>
  <c r="E131" i="3" s="1"/>
  <c r="F131" i="3" s="1"/>
  <c r="G131" i="3" s="1"/>
  <c r="D116" i="3"/>
  <c r="E116" i="3" s="1"/>
  <c r="F116" i="3" s="1"/>
  <c r="G116" i="3" s="1"/>
  <c r="D101" i="3"/>
  <c r="E101" i="3" s="1"/>
  <c r="F101" i="3" s="1"/>
  <c r="G101" i="3" s="1"/>
  <c r="M10" i="3"/>
  <c r="P10" i="3" s="1"/>
  <c r="N10" i="3"/>
  <c r="Q10" i="3" s="1"/>
  <c r="K146" i="3" l="1"/>
  <c r="L146" i="3" s="1"/>
  <c r="J146" i="3"/>
  <c r="T146" i="3" s="1"/>
  <c r="I146" i="3"/>
  <c r="S146" i="3" s="1"/>
  <c r="H131" i="3"/>
  <c r="H116" i="3"/>
  <c r="H101" i="3"/>
  <c r="D11" i="3"/>
  <c r="E11" i="3" s="1"/>
  <c r="F11" i="3" s="1"/>
  <c r="G11" i="3" s="1"/>
  <c r="H11" i="3" s="1"/>
  <c r="I11" i="3" s="1"/>
  <c r="S11" i="3" s="1"/>
  <c r="N146" i="3" l="1"/>
  <c r="Q146" i="3" s="1"/>
  <c r="M146" i="3"/>
  <c r="P146" i="3" s="1"/>
  <c r="O146" i="3"/>
  <c r="R146" i="3" s="1"/>
  <c r="J131" i="3"/>
  <c r="T131" i="3" s="1"/>
  <c r="I131" i="3"/>
  <c r="S131" i="3" s="1"/>
  <c r="K131" i="3"/>
  <c r="L131" i="3" s="1"/>
  <c r="I116" i="3"/>
  <c r="S116" i="3" s="1"/>
  <c r="K116" i="3"/>
  <c r="L116" i="3" s="1"/>
  <c r="J116" i="3"/>
  <c r="T116" i="3" s="1"/>
  <c r="K101" i="3"/>
  <c r="L101" i="3" s="1"/>
  <c r="J101" i="3"/>
  <c r="T101" i="3" s="1"/>
  <c r="I101" i="3"/>
  <c r="S101" i="3" s="1"/>
  <c r="J11" i="3"/>
  <c r="T11" i="3" s="1"/>
  <c r="K11" i="3"/>
  <c r="L11" i="3" s="1"/>
  <c r="O11" i="3" s="1"/>
  <c r="R11" i="3" s="1"/>
  <c r="D147" i="3" l="1"/>
  <c r="E147" i="3" s="1"/>
  <c r="F147" i="3" s="1"/>
  <c r="G147" i="3" s="1"/>
  <c r="O131" i="3"/>
  <c r="R131" i="3" s="1"/>
  <c r="N131" i="3"/>
  <c r="Q131" i="3" s="1"/>
  <c r="M131" i="3"/>
  <c r="P131" i="3" s="1"/>
  <c r="O116" i="3"/>
  <c r="R116" i="3" s="1"/>
  <c r="N116" i="3"/>
  <c r="Q116" i="3" s="1"/>
  <c r="M116" i="3"/>
  <c r="P116" i="3" s="1"/>
  <c r="O101" i="3"/>
  <c r="R101" i="3" s="1"/>
  <c r="N101" i="3"/>
  <c r="Q101" i="3" s="1"/>
  <c r="M101" i="3"/>
  <c r="P101" i="3" s="1"/>
  <c r="N11" i="3"/>
  <c r="Q11" i="3" s="1"/>
  <c r="M11" i="3"/>
  <c r="P11" i="3" s="1"/>
  <c r="H147" i="3" l="1"/>
  <c r="D132" i="3"/>
  <c r="E132" i="3" s="1"/>
  <c r="F132" i="3" s="1"/>
  <c r="G132" i="3" s="1"/>
  <c r="D117" i="3"/>
  <c r="E117" i="3" s="1"/>
  <c r="F117" i="3" s="1"/>
  <c r="G117" i="3" s="1"/>
  <c r="D102" i="3"/>
  <c r="E102" i="3" s="1"/>
  <c r="F102" i="3" s="1"/>
  <c r="G102" i="3" s="1"/>
  <c r="D12" i="3"/>
  <c r="E12" i="3" s="1"/>
  <c r="F12" i="3" s="1"/>
  <c r="G12" i="3" s="1"/>
  <c r="H12" i="3" s="1"/>
  <c r="K12" i="3" s="1"/>
  <c r="L12" i="3" s="1"/>
  <c r="N12" i="3" s="1"/>
  <c r="Q12" i="3" s="1"/>
  <c r="J147" i="3" l="1"/>
  <c r="T147" i="3" s="1"/>
  <c r="K147" i="3"/>
  <c r="L147" i="3" s="1"/>
  <c r="I147" i="3"/>
  <c r="S147" i="3" s="1"/>
  <c r="H132" i="3"/>
  <c r="H117" i="3"/>
  <c r="H102" i="3"/>
  <c r="I12" i="3"/>
  <c r="S12" i="3" s="1"/>
  <c r="M12" i="3"/>
  <c r="P12" i="3" s="1"/>
  <c r="O12" i="3"/>
  <c r="R12" i="3" s="1"/>
  <c r="J12" i="3"/>
  <c r="T12" i="3" s="1"/>
  <c r="M147" i="3" l="1"/>
  <c r="P147" i="3" s="1"/>
  <c r="O147" i="3"/>
  <c r="R147" i="3" s="1"/>
  <c r="N147" i="3"/>
  <c r="Q147" i="3" s="1"/>
  <c r="I132" i="3"/>
  <c r="S132" i="3" s="1"/>
  <c r="J132" i="3"/>
  <c r="T132" i="3" s="1"/>
  <c r="K132" i="3"/>
  <c r="L132" i="3" s="1"/>
  <c r="K117" i="3"/>
  <c r="L117" i="3" s="1"/>
  <c r="J117" i="3"/>
  <c r="T117" i="3" s="1"/>
  <c r="I117" i="3"/>
  <c r="S117" i="3" s="1"/>
  <c r="K102" i="3"/>
  <c r="L102" i="3" s="1"/>
  <c r="I102" i="3"/>
  <c r="S102" i="3" s="1"/>
  <c r="J102" i="3"/>
  <c r="T102" i="3" s="1"/>
  <c r="D13" i="3"/>
  <c r="E13" i="3" s="1"/>
  <c r="F13" i="3" s="1"/>
  <c r="G13" i="3" s="1"/>
  <c r="H13" i="3" s="1"/>
  <c r="I13" i="3" s="1"/>
  <c r="S13" i="3" s="1"/>
  <c r="S20" i="3" s="1"/>
  <c r="D148" i="3" l="1"/>
  <c r="E148" i="3" s="1"/>
  <c r="F148" i="3" s="1"/>
  <c r="G148" i="3" s="1"/>
  <c r="O132" i="3"/>
  <c r="R132" i="3" s="1"/>
  <c r="N132" i="3"/>
  <c r="Q132" i="3" s="1"/>
  <c r="M132" i="3"/>
  <c r="P132" i="3" s="1"/>
  <c r="O117" i="3"/>
  <c r="R117" i="3" s="1"/>
  <c r="N117" i="3"/>
  <c r="Q117" i="3" s="1"/>
  <c r="M117" i="3"/>
  <c r="P117" i="3" s="1"/>
  <c r="O102" i="3"/>
  <c r="R102" i="3" s="1"/>
  <c r="N102" i="3"/>
  <c r="Q102" i="3" s="1"/>
  <c r="M102" i="3"/>
  <c r="P102" i="3" s="1"/>
  <c r="J13" i="3"/>
  <c r="T13" i="3" s="1"/>
  <c r="T20" i="3" s="1"/>
  <c r="K13" i="3"/>
  <c r="L13" i="3" s="1"/>
  <c r="O13" i="3" s="1"/>
  <c r="R13" i="3" s="1"/>
  <c r="R20" i="3" s="1"/>
  <c r="H148" i="3" l="1"/>
  <c r="D133" i="3"/>
  <c r="E133" i="3" s="1"/>
  <c r="F133" i="3" s="1"/>
  <c r="G133" i="3" s="1"/>
  <c r="D118" i="3"/>
  <c r="E118" i="3" s="1"/>
  <c r="F118" i="3" s="1"/>
  <c r="G118" i="3" s="1"/>
  <c r="D103" i="3"/>
  <c r="E103" i="3" s="1"/>
  <c r="F103" i="3" s="1"/>
  <c r="G103" i="3" s="1"/>
  <c r="M13" i="3"/>
  <c r="P13" i="3" s="1"/>
  <c r="N13" i="3"/>
  <c r="Q13" i="3" s="1"/>
  <c r="D21" i="3" s="1"/>
  <c r="E21" i="3" s="1"/>
  <c r="F21" i="3" s="1"/>
  <c r="G21" i="3" s="1"/>
  <c r="H21" i="3" s="1"/>
  <c r="K148" i="3" l="1"/>
  <c r="L148" i="3" s="1"/>
  <c r="J148" i="3"/>
  <c r="T148" i="3" s="1"/>
  <c r="I148" i="3"/>
  <c r="S148" i="3" s="1"/>
  <c r="H133" i="3"/>
  <c r="H118" i="3"/>
  <c r="H103" i="3"/>
  <c r="K21" i="3"/>
  <c r="L21" i="3" s="1"/>
  <c r="I21" i="3"/>
  <c r="S21" i="3" s="1"/>
  <c r="J21" i="3"/>
  <c r="T21" i="3" s="1"/>
  <c r="N148" i="3" l="1"/>
  <c r="Q148" i="3" s="1"/>
  <c r="O148" i="3"/>
  <c r="R148" i="3" s="1"/>
  <c r="M148" i="3"/>
  <c r="P148" i="3" s="1"/>
  <c r="I133" i="3"/>
  <c r="S133" i="3" s="1"/>
  <c r="K133" i="3"/>
  <c r="L133" i="3" s="1"/>
  <c r="J133" i="3"/>
  <c r="T133" i="3" s="1"/>
  <c r="J118" i="3"/>
  <c r="T118" i="3" s="1"/>
  <c r="I118" i="3"/>
  <c r="S118" i="3" s="1"/>
  <c r="K118" i="3"/>
  <c r="L118" i="3" s="1"/>
  <c r="J103" i="3"/>
  <c r="T103" i="3" s="1"/>
  <c r="K103" i="3"/>
  <c r="L103" i="3" s="1"/>
  <c r="I103" i="3"/>
  <c r="S103" i="3" s="1"/>
  <c r="M21" i="3"/>
  <c r="P21" i="3" s="1"/>
  <c r="O21" i="3"/>
  <c r="R21" i="3" s="1"/>
  <c r="N21" i="3"/>
  <c r="Q21" i="3" s="1"/>
  <c r="D149" i="3" l="1"/>
  <c r="E149" i="3" s="1"/>
  <c r="F149" i="3" s="1"/>
  <c r="G149" i="3" s="1"/>
  <c r="N133" i="3"/>
  <c r="Q133" i="3" s="1"/>
  <c r="M133" i="3"/>
  <c r="P133" i="3" s="1"/>
  <c r="O133" i="3"/>
  <c r="R133" i="3" s="1"/>
  <c r="N118" i="3"/>
  <c r="Q118" i="3" s="1"/>
  <c r="M118" i="3"/>
  <c r="P118" i="3" s="1"/>
  <c r="O118" i="3"/>
  <c r="R118" i="3" s="1"/>
  <c r="N103" i="3"/>
  <c r="Q103" i="3" s="1"/>
  <c r="O103" i="3"/>
  <c r="R103" i="3" s="1"/>
  <c r="M103" i="3"/>
  <c r="P103" i="3" s="1"/>
  <c r="D22" i="3"/>
  <c r="E22" i="3" s="1"/>
  <c r="F22" i="3" s="1"/>
  <c r="G22" i="3" s="1"/>
  <c r="H22" i="3" s="1"/>
  <c r="H149" i="3" l="1"/>
  <c r="D134" i="3"/>
  <c r="E134" i="3" s="1"/>
  <c r="F134" i="3" s="1"/>
  <c r="G134" i="3" s="1"/>
  <c r="D119" i="3"/>
  <c r="E119" i="3" s="1"/>
  <c r="F119" i="3" s="1"/>
  <c r="G119" i="3" s="1"/>
  <c r="D104" i="3"/>
  <c r="E104" i="3" s="1"/>
  <c r="F104" i="3" s="1"/>
  <c r="G104" i="3" s="1"/>
  <c r="I22" i="3"/>
  <c r="S22" i="3" s="1"/>
  <c r="K22" i="3"/>
  <c r="L22" i="3" s="1"/>
  <c r="J22" i="3"/>
  <c r="T22" i="3" s="1"/>
  <c r="K149" i="3" l="1"/>
  <c r="L149" i="3" s="1"/>
  <c r="J149" i="3"/>
  <c r="T149" i="3" s="1"/>
  <c r="I149" i="3"/>
  <c r="S149" i="3" s="1"/>
  <c r="H134" i="3"/>
  <c r="H119" i="3"/>
  <c r="H104" i="3"/>
  <c r="M22" i="3"/>
  <c r="P22" i="3" s="1"/>
  <c r="N22" i="3"/>
  <c r="Q22" i="3" s="1"/>
  <c r="O22" i="3"/>
  <c r="R22" i="3" s="1"/>
  <c r="M149" i="3" l="1"/>
  <c r="P149" i="3" s="1"/>
  <c r="O149" i="3"/>
  <c r="R149" i="3" s="1"/>
  <c r="N149" i="3"/>
  <c r="Q149" i="3" s="1"/>
  <c r="K134" i="3"/>
  <c r="L134" i="3" s="1"/>
  <c r="J134" i="3"/>
  <c r="T134" i="3" s="1"/>
  <c r="I134" i="3"/>
  <c r="S134" i="3" s="1"/>
  <c r="K119" i="3"/>
  <c r="L119" i="3" s="1"/>
  <c r="I119" i="3"/>
  <c r="S119" i="3" s="1"/>
  <c r="J119" i="3"/>
  <c r="T119" i="3" s="1"/>
  <c r="I104" i="3"/>
  <c r="S104" i="3" s="1"/>
  <c r="K104" i="3"/>
  <c r="L104" i="3" s="1"/>
  <c r="J104" i="3"/>
  <c r="T104" i="3" s="1"/>
  <c r="D23" i="3"/>
  <c r="E23" i="3" s="1"/>
  <c r="F23" i="3" s="1"/>
  <c r="G23" i="3" s="1"/>
  <c r="H23" i="3" s="1"/>
  <c r="D150" i="3" l="1"/>
  <c r="E150" i="3" s="1"/>
  <c r="F150" i="3" s="1"/>
  <c r="G150" i="3" s="1"/>
  <c r="M134" i="3"/>
  <c r="P134" i="3" s="1"/>
  <c r="O134" i="3"/>
  <c r="R134" i="3" s="1"/>
  <c r="N134" i="3"/>
  <c r="Q134" i="3" s="1"/>
  <c r="M119" i="3"/>
  <c r="P119" i="3" s="1"/>
  <c r="O119" i="3"/>
  <c r="R119" i="3" s="1"/>
  <c r="N119" i="3"/>
  <c r="Q119" i="3" s="1"/>
  <c r="M104" i="3"/>
  <c r="P104" i="3" s="1"/>
  <c r="O104" i="3"/>
  <c r="R104" i="3" s="1"/>
  <c r="N104" i="3"/>
  <c r="Q104" i="3" s="1"/>
  <c r="K23" i="3"/>
  <c r="L23" i="3" s="1"/>
  <c r="I23" i="3"/>
  <c r="S23" i="3" s="1"/>
  <c r="J23" i="3"/>
  <c r="T23" i="3" s="1"/>
  <c r="H150" i="3" l="1"/>
  <c r="U144" i="3"/>
  <c r="D135" i="3"/>
  <c r="E135" i="3" s="1"/>
  <c r="F135" i="3" s="1"/>
  <c r="G135" i="3" s="1"/>
  <c r="D120" i="3"/>
  <c r="E120" i="3" s="1"/>
  <c r="F120" i="3" s="1"/>
  <c r="G120" i="3" s="1"/>
  <c r="D105" i="3"/>
  <c r="E105" i="3" s="1"/>
  <c r="F105" i="3" s="1"/>
  <c r="G105" i="3" s="1"/>
  <c r="N23" i="3"/>
  <c r="Q23" i="3" s="1"/>
  <c r="M23" i="3"/>
  <c r="P23" i="3" s="1"/>
  <c r="O23" i="3"/>
  <c r="R23" i="3" s="1"/>
  <c r="J150" i="3" l="1"/>
  <c r="T150" i="3" s="1"/>
  <c r="K150" i="3"/>
  <c r="L150" i="3" s="1"/>
  <c r="I150" i="3"/>
  <c r="S150" i="3" s="1"/>
  <c r="H135" i="3"/>
  <c r="U129" i="3"/>
  <c r="H120" i="3"/>
  <c r="U114" i="3"/>
  <c r="H105" i="3"/>
  <c r="U99" i="3"/>
  <c r="D24" i="3"/>
  <c r="E24" i="3" s="1"/>
  <c r="F24" i="3" s="1"/>
  <c r="G24" i="3" s="1"/>
  <c r="O150" i="3" l="1"/>
  <c r="R150" i="3" s="1"/>
  <c r="N150" i="3"/>
  <c r="Q150" i="3" s="1"/>
  <c r="M150" i="3"/>
  <c r="P150" i="3" s="1"/>
  <c r="K135" i="3"/>
  <c r="L135" i="3" s="1"/>
  <c r="J135" i="3"/>
  <c r="T135" i="3" s="1"/>
  <c r="I135" i="3"/>
  <c r="S135" i="3" s="1"/>
  <c r="K120" i="3"/>
  <c r="L120" i="3" s="1"/>
  <c r="J120" i="3"/>
  <c r="T120" i="3" s="1"/>
  <c r="I120" i="3"/>
  <c r="S120" i="3" s="1"/>
  <c r="K105" i="3"/>
  <c r="L105" i="3" s="1"/>
  <c r="J105" i="3"/>
  <c r="T105" i="3" s="1"/>
  <c r="I105" i="3"/>
  <c r="S105" i="3" s="1"/>
  <c r="H24" i="3"/>
  <c r="O135" i="3" l="1"/>
  <c r="R135" i="3" s="1"/>
  <c r="N135" i="3"/>
  <c r="Q135" i="3" s="1"/>
  <c r="M135" i="3"/>
  <c r="P135" i="3" s="1"/>
  <c r="O120" i="3"/>
  <c r="R120" i="3" s="1"/>
  <c r="N120" i="3"/>
  <c r="Q120" i="3" s="1"/>
  <c r="M120" i="3"/>
  <c r="P120" i="3" s="1"/>
  <c r="N105" i="3"/>
  <c r="Q105" i="3" s="1"/>
  <c r="O105" i="3"/>
  <c r="R105" i="3" s="1"/>
  <c r="M105" i="3"/>
  <c r="P105" i="3" s="1"/>
  <c r="J24" i="3"/>
  <c r="T24" i="3" s="1"/>
  <c r="I24" i="3"/>
  <c r="S24" i="3" s="1"/>
  <c r="K24" i="3"/>
  <c r="L24" i="3" s="1"/>
  <c r="M24" i="3" l="1"/>
  <c r="P24" i="3" s="1"/>
  <c r="O24" i="3"/>
  <c r="R24" i="3" s="1"/>
  <c r="N24" i="3"/>
  <c r="Q24" i="3" s="1"/>
  <c r="D25" i="3" l="1"/>
  <c r="E25" i="3" s="1"/>
  <c r="F25" i="3" s="1"/>
  <c r="G25" i="3" s="1"/>
  <c r="H25" i="3" l="1"/>
  <c r="I25" i="3" l="1"/>
  <c r="S25" i="3" s="1"/>
  <c r="J25" i="3"/>
  <c r="T25" i="3" s="1"/>
  <c r="K25" i="3"/>
  <c r="L25" i="3" s="1"/>
  <c r="N25" i="3" l="1"/>
  <c r="Q25" i="3" s="1"/>
  <c r="O25" i="3"/>
  <c r="R25" i="3" s="1"/>
  <c r="M25" i="3"/>
  <c r="P25" i="3" s="1"/>
  <c r="D26" i="3" l="1"/>
  <c r="E26" i="3" s="1"/>
  <c r="F26" i="3" s="1"/>
  <c r="G26" i="3" s="1"/>
  <c r="H26" i="3" l="1"/>
  <c r="K26" i="3" l="1"/>
  <c r="L26" i="3" s="1"/>
  <c r="J26" i="3"/>
  <c r="T26" i="3" s="1"/>
  <c r="I26" i="3"/>
  <c r="S26" i="3" s="1"/>
  <c r="M26" i="3" l="1"/>
  <c r="P26" i="3" s="1"/>
  <c r="O26" i="3"/>
  <c r="R26" i="3" s="1"/>
  <c r="N26" i="3"/>
  <c r="Q26" i="3" s="1"/>
  <c r="D27" i="3" l="1"/>
  <c r="E27" i="3" s="1"/>
  <c r="F27" i="3" s="1"/>
  <c r="G27" i="3" s="1"/>
  <c r="H27" i="3" l="1"/>
  <c r="K27" i="3" l="1"/>
  <c r="L27" i="3" s="1"/>
  <c r="I27" i="3"/>
  <c r="S27" i="3" s="1"/>
  <c r="J27" i="3"/>
  <c r="T27" i="3" s="1"/>
  <c r="O27" i="3" l="1"/>
  <c r="R27" i="3" s="1"/>
  <c r="M27" i="3"/>
  <c r="P27" i="3" s="1"/>
  <c r="N27" i="3"/>
  <c r="Q27" i="3" s="1"/>
  <c r="D28" i="3" l="1"/>
  <c r="E28" i="3" s="1"/>
  <c r="F28" i="3" s="1"/>
  <c r="G28" i="3" s="1"/>
  <c r="H28" i="3" l="1"/>
  <c r="K28" i="3" l="1"/>
  <c r="L28" i="3" s="1"/>
  <c r="I28" i="3"/>
  <c r="S28" i="3" s="1"/>
  <c r="J28" i="3"/>
  <c r="T28" i="3" s="1"/>
  <c r="M28" i="3" l="1"/>
  <c r="P28" i="3" s="1"/>
  <c r="N28" i="3"/>
  <c r="Q28" i="3" s="1"/>
  <c r="O28" i="3"/>
  <c r="R28" i="3" s="1"/>
  <c r="D29" i="3" l="1"/>
  <c r="E29" i="3" s="1"/>
  <c r="F29" i="3" s="1"/>
  <c r="G29" i="3" s="1"/>
  <c r="H29" i="3" l="1"/>
  <c r="J29" i="3" l="1"/>
  <c r="T29" i="3" s="1"/>
  <c r="I29" i="3"/>
  <c r="S29" i="3" s="1"/>
  <c r="K29" i="3"/>
  <c r="L29" i="3" s="1"/>
  <c r="O29" i="3" l="1"/>
  <c r="R29" i="3" s="1"/>
  <c r="M29" i="3"/>
  <c r="P29" i="3" s="1"/>
  <c r="N29" i="3"/>
  <c r="Q29" i="3" s="1"/>
  <c r="D30" i="3" l="1"/>
  <c r="E30" i="3" s="1"/>
  <c r="F30" i="3" s="1"/>
  <c r="G30" i="3" s="1"/>
  <c r="H30" i="3" s="1"/>
  <c r="U24" i="3" l="1"/>
  <c r="K30" i="3"/>
  <c r="L30" i="3" s="1"/>
  <c r="J30" i="3"/>
  <c r="T30" i="3" s="1"/>
  <c r="T35" i="3" s="1"/>
  <c r="I30" i="3"/>
  <c r="S30" i="3" s="1"/>
  <c r="S35" i="3" s="1"/>
  <c r="O30" i="3" l="1"/>
  <c r="R30" i="3" s="1"/>
  <c r="R35" i="3" s="1"/>
  <c r="N30" i="3"/>
  <c r="Q30" i="3" s="1"/>
  <c r="Q35" i="3" s="1"/>
  <c r="M30" i="3"/>
  <c r="P30" i="3" s="1"/>
  <c r="D36" i="3" s="1"/>
  <c r="E36" i="3" s="1"/>
  <c r="F36" i="3" s="1"/>
  <c r="G36" i="3" s="1"/>
  <c r="H36" i="3" l="1"/>
  <c r="J36" i="3" l="1"/>
  <c r="T36" i="3" s="1"/>
  <c r="K36" i="3"/>
  <c r="L36" i="3" s="1"/>
  <c r="I36" i="3"/>
  <c r="S36" i="3" s="1"/>
  <c r="O36" i="3" l="1"/>
  <c r="R36" i="3" s="1"/>
  <c r="N36" i="3"/>
  <c r="Q36" i="3" s="1"/>
  <c r="M36" i="3"/>
  <c r="D37" i="3" l="1"/>
  <c r="E37" i="3" s="1"/>
  <c r="F37" i="3" s="1"/>
  <c r="G37" i="3" s="1"/>
  <c r="H37" i="3" l="1"/>
  <c r="I37" i="3" l="1"/>
  <c r="S37" i="3" s="1"/>
  <c r="J37" i="3"/>
  <c r="T37" i="3" s="1"/>
  <c r="K37" i="3"/>
  <c r="L37" i="3" s="1"/>
  <c r="O37" i="3" l="1"/>
  <c r="R37" i="3" s="1"/>
  <c r="M37" i="3"/>
  <c r="P37" i="3" s="1"/>
  <c r="N37" i="3"/>
  <c r="Q37" i="3" s="1"/>
  <c r="D38" i="3" l="1"/>
  <c r="E38" i="3" s="1"/>
  <c r="F38" i="3" s="1"/>
  <c r="G38" i="3" s="1"/>
  <c r="H38" i="3" l="1"/>
  <c r="K38" i="3" l="1"/>
  <c r="L38" i="3" s="1"/>
  <c r="J38" i="3"/>
  <c r="T38" i="3" s="1"/>
  <c r="I38" i="3"/>
  <c r="S38" i="3" s="1"/>
  <c r="O38" i="3" l="1"/>
  <c r="R38" i="3" s="1"/>
  <c r="N38" i="3"/>
  <c r="Q38" i="3" s="1"/>
  <c r="M38" i="3"/>
  <c r="P38" i="3" s="1"/>
  <c r="D39" i="3" l="1"/>
  <c r="E39" i="3" s="1"/>
  <c r="F39" i="3" s="1"/>
  <c r="G39" i="3" s="1"/>
  <c r="H39" i="3" l="1"/>
  <c r="K39" i="3" l="1"/>
  <c r="L39" i="3" s="1"/>
  <c r="J39" i="3"/>
  <c r="T39" i="3" s="1"/>
  <c r="I39" i="3"/>
  <c r="S39" i="3" s="1"/>
  <c r="O39" i="3" l="1"/>
  <c r="R39" i="3" s="1"/>
  <c r="N39" i="3"/>
  <c r="Q39" i="3" s="1"/>
  <c r="M39" i="3"/>
  <c r="P39" i="3" s="1"/>
  <c r="D40" i="3" l="1"/>
  <c r="E40" i="3" s="1"/>
  <c r="F40" i="3" s="1"/>
  <c r="G40" i="3" s="1"/>
  <c r="H40" i="3" l="1"/>
  <c r="I40" i="3" l="1"/>
  <c r="S40" i="3" s="1"/>
  <c r="K40" i="3"/>
  <c r="L40" i="3" s="1"/>
  <c r="J40" i="3"/>
  <c r="T40" i="3" s="1"/>
  <c r="O40" i="3" l="1"/>
  <c r="R40" i="3" s="1"/>
  <c r="M40" i="3"/>
  <c r="P40" i="3" s="1"/>
  <c r="N40" i="3"/>
  <c r="Q40" i="3" s="1"/>
  <c r="D41" i="3" l="1"/>
  <c r="E41" i="3" s="1"/>
  <c r="F41" i="3" s="1"/>
  <c r="G41" i="3" s="1"/>
  <c r="H41" i="3" s="1"/>
  <c r="K41" i="3" l="1"/>
  <c r="L41" i="3" s="1"/>
  <c r="I41" i="3"/>
  <c r="S41" i="3" s="1"/>
  <c r="J41" i="3"/>
  <c r="T41" i="3" s="1"/>
  <c r="O41" i="3" l="1"/>
  <c r="R41" i="3" s="1"/>
  <c r="M41" i="3"/>
  <c r="P41" i="3" s="1"/>
  <c r="N41" i="3"/>
  <c r="Q41" i="3" s="1"/>
  <c r="D42" i="3" l="1"/>
  <c r="E42" i="3" s="1"/>
  <c r="F42" i="3" s="1"/>
  <c r="G42" i="3" s="1"/>
  <c r="H42" i="3" l="1"/>
  <c r="I42" i="3" l="1"/>
  <c r="S42" i="3" s="1"/>
  <c r="K42" i="3"/>
  <c r="L42" i="3" s="1"/>
  <c r="J42" i="3"/>
  <c r="T42" i="3" s="1"/>
  <c r="O42" i="3" l="1"/>
  <c r="R42" i="3" s="1"/>
  <c r="M42" i="3"/>
  <c r="P42" i="3" s="1"/>
  <c r="N42" i="3"/>
  <c r="Q42" i="3" s="1"/>
  <c r="D43" i="3" l="1"/>
  <c r="E43" i="3" s="1"/>
  <c r="F43" i="3" s="1"/>
  <c r="G43" i="3" s="1"/>
  <c r="H43" i="3" l="1"/>
  <c r="J43" i="3" l="1"/>
  <c r="T43" i="3" s="1"/>
  <c r="K43" i="3"/>
  <c r="L43" i="3" s="1"/>
  <c r="I43" i="3"/>
  <c r="S43" i="3" s="1"/>
  <c r="O43" i="3" l="1"/>
  <c r="R43" i="3" s="1"/>
  <c r="N43" i="3"/>
  <c r="Q43" i="3" s="1"/>
  <c r="M43" i="3"/>
  <c r="P43" i="3" s="1"/>
  <c r="D44" i="3" l="1"/>
  <c r="E44" i="3" s="1"/>
  <c r="F44" i="3" s="1"/>
  <c r="G44" i="3" s="1"/>
  <c r="H44" i="3" l="1"/>
  <c r="J44" i="3" l="1"/>
  <c r="T44" i="3" s="1"/>
  <c r="K44" i="3"/>
  <c r="L44" i="3" s="1"/>
  <c r="I44" i="3"/>
  <c r="S44" i="3" s="1"/>
  <c r="M44" i="3" l="1"/>
  <c r="P44" i="3" s="1"/>
  <c r="N44" i="3"/>
  <c r="Q44" i="3" s="1"/>
  <c r="O44" i="3"/>
  <c r="R44" i="3" s="1"/>
  <c r="D45" i="3" l="1"/>
  <c r="E45" i="3" s="1"/>
  <c r="F45" i="3" s="1"/>
  <c r="G45" i="3" s="1"/>
  <c r="H45" i="3" l="1"/>
  <c r="U39" i="3"/>
  <c r="K45" i="3" l="1"/>
  <c r="L45" i="3" s="1"/>
  <c r="J45" i="3"/>
  <c r="T45" i="3" s="1"/>
  <c r="T50" i="3" s="1"/>
  <c r="I45" i="3"/>
  <c r="S45" i="3" s="1"/>
  <c r="S50" i="3" s="1"/>
  <c r="O45" i="3" l="1"/>
  <c r="R45" i="3" s="1"/>
  <c r="R50" i="3" s="1"/>
  <c r="N45" i="3"/>
  <c r="Q45" i="3" s="1"/>
  <c r="Q50" i="3" s="1"/>
  <c r="M45" i="3"/>
  <c r="P45" i="3" l="1"/>
  <c r="D51" i="3" s="1"/>
  <c r="E51" i="3" s="1"/>
  <c r="F51" i="3" s="1"/>
  <c r="G51" i="3" s="1"/>
  <c r="H51" i="3" l="1"/>
  <c r="J51" i="3" l="1"/>
  <c r="T51" i="3" s="1"/>
  <c r="I51" i="3"/>
  <c r="S51" i="3" s="1"/>
  <c r="K51" i="3"/>
  <c r="L51" i="3" s="1"/>
  <c r="O51" i="3" l="1"/>
  <c r="R51" i="3" s="1"/>
  <c r="M51" i="3"/>
  <c r="N51" i="3"/>
  <c r="Q51" i="3" s="1"/>
  <c r="D52" i="3" l="1"/>
  <c r="E52" i="3" s="1"/>
  <c r="F52" i="3" s="1"/>
  <c r="G52" i="3" s="1"/>
  <c r="H52" i="3" l="1"/>
  <c r="J52" i="3" l="1"/>
  <c r="T52" i="3" s="1"/>
  <c r="K52" i="3"/>
  <c r="L52" i="3" s="1"/>
  <c r="I52" i="3"/>
  <c r="S52" i="3" s="1"/>
  <c r="N52" i="3" l="1"/>
  <c r="Q52" i="3" s="1"/>
  <c r="M52" i="3"/>
  <c r="P52" i="3" s="1"/>
  <c r="O52" i="3"/>
  <c r="R52" i="3" s="1"/>
  <c r="D53" i="3" l="1"/>
  <c r="E53" i="3" s="1"/>
  <c r="F53" i="3" s="1"/>
  <c r="G53" i="3" s="1"/>
  <c r="H53" i="3" s="1"/>
  <c r="K53" i="3" l="1"/>
  <c r="L53" i="3" s="1"/>
  <c r="J53" i="3"/>
  <c r="T53" i="3" s="1"/>
  <c r="I53" i="3"/>
  <c r="S53" i="3" s="1"/>
  <c r="O53" i="3" l="1"/>
  <c r="R53" i="3" s="1"/>
  <c r="M53" i="3"/>
  <c r="P53" i="3" s="1"/>
  <c r="N53" i="3"/>
  <c r="Q53" i="3" s="1"/>
  <c r="D54" i="3" l="1"/>
  <c r="E54" i="3" s="1"/>
  <c r="F54" i="3" s="1"/>
  <c r="G54" i="3" s="1"/>
  <c r="H54" i="3" l="1"/>
  <c r="I54" i="3" l="1"/>
  <c r="S54" i="3" s="1"/>
  <c r="K54" i="3"/>
  <c r="L54" i="3" s="1"/>
  <c r="J54" i="3"/>
  <c r="T54" i="3" s="1"/>
  <c r="M54" i="3" l="1"/>
  <c r="P54" i="3" s="1"/>
  <c r="N54" i="3"/>
  <c r="Q54" i="3" s="1"/>
  <c r="O54" i="3"/>
  <c r="R54" i="3" s="1"/>
  <c r="D55" i="3" l="1"/>
  <c r="E55" i="3" s="1"/>
  <c r="F55" i="3" s="1"/>
  <c r="G55" i="3" s="1"/>
  <c r="H55" i="3" l="1"/>
  <c r="J55" i="3" l="1"/>
  <c r="T55" i="3" s="1"/>
  <c r="I55" i="3"/>
  <c r="S55" i="3" s="1"/>
  <c r="K55" i="3"/>
  <c r="L55" i="3" s="1"/>
  <c r="O55" i="3" l="1"/>
  <c r="R55" i="3" s="1"/>
  <c r="N55" i="3"/>
  <c r="Q55" i="3" s="1"/>
  <c r="M55" i="3"/>
  <c r="P55" i="3" s="1"/>
  <c r="D56" i="3" l="1"/>
  <c r="E56" i="3" s="1"/>
  <c r="F56" i="3" s="1"/>
  <c r="G56" i="3" s="1"/>
  <c r="H56" i="3" l="1"/>
  <c r="J56" i="3" l="1"/>
  <c r="T56" i="3" s="1"/>
  <c r="K56" i="3"/>
  <c r="L56" i="3" s="1"/>
  <c r="I56" i="3"/>
  <c r="S56" i="3" s="1"/>
  <c r="O56" i="3" l="1"/>
  <c r="R56" i="3" s="1"/>
  <c r="N56" i="3"/>
  <c r="Q56" i="3" s="1"/>
  <c r="M56" i="3"/>
  <c r="P56" i="3" s="1"/>
  <c r="D57" i="3" l="1"/>
  <c r="E57" i="3" s="1"/>
  <c r="F57" i="3" s="1"/>
  <c r="G57" i="3" s="1"/>
  <c r="H57" i="3" s="1"/>
  <c r="J57" i="3" l="1"/>
  <c r="T57" i="3" s="1"/>
  <c r="K57" i="3"/>
  <c r="L57" i="3" s="1"/>
  <c r="I57" i="3"/>
  <c r="S57" i="3" s="1"/>
  <c r="N57" i="3" l="1"/>
  <c r="Q57" i="3" s="1"/>
  <c r="O57" i="3"/>
  <c r="R57" i="3" s="1"/>
  <c r="M57" i="3"/>
  <c r="P57" i="3" s="1"/>
  <c r="D58" i="3" l="1"/>
  <c r="E58" i="3" s="1"/>
  <c r="F58" i="3" s="1"/>
  <c r="G58" i="3" s="1"/>
  <c r="H58" i="3" l="1"/>
  <c r="I58" i="3" l="1"/>
  <c r="S58" i="3" s="1"/>
  <c r="J58" i="3"/>
  <c r="T58" i="3" s="1"/>
  <c r="K58" i="3"/>
  <c r="L58" i="3" s="1"/>
  <c r="N58" i="3" l="1"/>
  <c r="Q58" i="3" s="1"/>
  <c r="M58" i="3"/>
  <c r="P58" i="3" s="1"/>
  <c r="O58" i="3"/>
  <c r="R58" i="3" s="1"/>
  <c r="D59" i="3" l="1"/>
  <c r="E59" i="3" s="1"/>
  <c r="F59" i="3" s="1"/>
  <c r="G59" i="3" s="1"/>
  <c r="H59" i="3" l="1"/>
  <c r="J59" i="3" l="1"/>
  <c r="T59" i="3" s="1"/>
  <c r="K59" i="3"/>
  <c r="L59" i="3" s="1"/>
  <c r="I59" i="3"/>
  <c r="S59" i="3" s="1"/>
  <c r="O59" i="3" l="1"/>
  <c r="R59" i="3" s="1"/>
  <c r="M59" i="3"/>
  <c r="P59" i="3" s="1"/>
  <c r="N59" i="3"/>
  <c r="Q59" i="3" s="1"/>
  <c r="D60" i="3" l="1"/>
  <c r="E60" i="3" s="1"/>
  <c r="F60" i="3" s="1"/>
  <c r="G60" i="3" s="1"/>
  <c r="H60" i="3" l="1"/>
  <c r="U54" i="3"/>
  <c r="J60" i="3" l="1"/>
  <c r="T60" i="3" s="1"/>
  <c r="T65" i="3" s="1"/>
  <c r="I60" i="3"/>
  <c r="S60" i="3" s="1"/>
  <c r="S65" i="3" s="1"/>
  <c r="K60" i="3"/>
  <c r="L60" i="3" s="1"/>
  <c r="N60" i="3" l="1"/>
  <c r="Q60" i="3" s="1"/>
  <c r="Q65" i="3" s="1"/>
  <c r="O60" i="3"/>
  <c r="R60" i="3" s="1"/>
  <c r="R65" i="3" s="1"/>
  <c r="M60" i="3"/>
  <c r="P60" i="3" l="1"/>
  <c r="P65" i="3" s="1"/>
  <c r="D66" i="3" s="1"/>
  <c r="E66" i="3" s="1"/>
  <c r="F66" i="3" s="1"/>
  <c r="G66" i="3" s="1"/>
  <c r="H66" i="3" s="1"/>
  <c r="I66" i="3" l="1"/>
  <c r="S66" i="3" s="1"/>
  <c r="J66" i="3"/>
  <c r="T66" i="3" s="1"/>
  <c r="K66" i="3"/>
  <c r="L66" i="3" s="1"/>
  <c r="O66" i="3" l="1"/>
  <c r="R66" i="3" s="1"/>
  <c r="N66" i="3"/>
  <c r="Q66" i="3" s="1"/>
  <c r="M66" i="3"/>
  <c r="P66" i="3" s="1"/>
  <c r="D67" i="3" s="1"/>
  <c r="E67" i="3" s="1"/>
  <c r="F67" i="3" s="1"/>
  <c r="G67" i="3" s="1"/>
  <c r="H67" i="3" l="1"/>
  <c r="I67" i="3" l="1"/>
  <c r="S67" i="3" s="1"/>
  <c r="J67" i="3"/>
  <c r="T67" i="3" s="1"/>
  <c r="K67" i="3"/>
  <c r="L67" i="3" s="1"/>
  <c r="O67" i="3" l="1"/>
  <c r="R67" i="3" s="1"/>
  <c r="N67" i="3"/>
  <c r="Q67" i="3" s="1"/>
  <c r="M67" i="3"/>
  <c r="P67" i="3" s="1"/>
  <c r="D68" i="3" s="1"/>
  <c r="E68" i="3" s="1"/>
  <c r="F68" i="3" s="1"/>
  <c r="G68" i="3" s="1"/>
  <c r="H68" i="3" l="1"/>
  <c r="J68" i="3" l="1"/>
  <c r="T68" i="3" s="1"/>
  <c r="K68" i="3"/>
  <c r="L68" i="3" s="1"/>
  <c r="I68" i="3"/>
  <c r="S68" i="3" s="1"/>
  <c r="O68" i="3" l="1"/>
  <c r="R68" i="3" s="1"/>
  <c r="N68" i="3"/>
  <c r="Q68" i="3" s="1"/>
  <c r="M68" i="3"/>
  <c r="P68" i="3" s="1"/>
  <c r="D69" i="3" l="1"/>
  <c r="E69" i="3" s="1"/>
  <c r="F69" i="3" s="1"/>
  <c r="G69" i="3" s="1"/>
  <c r="H69" i="3" s="1"/>
  <c r="K69" i="3" l="1"/>
  <c r="L69" i="3" s="1"/>
  <c r="I69" i="3"/>
  <c r="S69" i="3" s="1"/>
  <c r="J69" i="3"/>
  <c r="T69" i="3" s="1"/>
  <c r="M69" i="3" l="1"/>
  <c r="P69" i="3" s="1"/>
  <c r="N69" i="3"/>
  <c r="Q69" i="3" s="1"/>
  <c r="O69" i="3"/>
  <c r="R69" i="3" s="1"/>
  <c r="D70" i="3" l="1"/>
  <c r="E70" i="3" s="1"/>
  <c r="F70" i="3" s="1"/>
  <c r="G70" i="3" s="1"/>
  <c r="H70" i="3" s="1"/>
  <c r="K70" i="3" l="1"/>
  <c r="L70" i="3" s="1"/>
  <c r="I70" i="3"/>
  <c r="S70" i="3" s="1"/>
  <c r="J70" i="3"/>
  <c r="T70" i="3" s="1"/>
  <c r="O70" i="3" l="1"/>
  <c r="R70" i="3" s="1"/>
  <c r="M70" i="3"/>
  <c r="P70" i="3" s="1"/>
  <c r="N70" i="3"/>
  <c r="Q70" i="3" s="1"/>
  <c r="D71" i="3" l="1"/>
  <c r="E71" i="3" s="1"/>
  <c r="F71" i="3" s="1"/>
  <c r="G71" i="3" s="1"/>
  <c r="H71" i="3" l="1"/>
  <c r="I71" i="3" l="1"/>
  <c r="S71" i="3" s="1"/>
  <c r="K71" i="3"/>
  <c r="L71" i="3" s="1"/>
  <c r="J71" i="3"/>
  <c r="T71" i="3" s="1"/>
  <c r="N71" i="3" l="1"/>
  <c r="Q71" i="3" s="1"/>
  <c r="O71" i="3"/>
  <c r="R71" i="3" s="1"/>
  <c r="M71" i="3"/>
  <c r="P71" i="3" s="1"/>
  <c r="D72" i="3" l="1"/>
  <c r="E72" i="3" s="1"/>
  <c r="F72" i="3" s="1"/>
  <c r="G72" i="3" s="1"/>
  <c r="H72" i="3" l="1"/>
  <c r="K72" i="3" l="1"/>
  <c r="L72" i="3" s="1"/>
  <c r="J72" i="3"/>
  <c r="T72" i="3" s="1"/>
  <c r="I72" i="3"/>
  <c r="S72" i="3" s="1"/>
  <c r="O72" i="3" l="1"/>
  <c r="R72" i="3" s="1"/>
  <c r="N72" i="3"/>
  <c r="Q72" i="3" s="1"/>
  <c r="M72" i="3"/>
  <c r="P72" i="3" s="1"/>
  <c r="D73" i="3" s="1"/>
  <c r="E73" i="3" s="1"/>
  <c r="F73" i="3" s="1"/>
  <c r="G73" i="3" s="1"/>
  <c r="H73" i="3" l="1"/>
  <c r="I73" i="3" l="1"/>
  <c r="S73" i="3" s="1"/>
  <c r="K73" i="3"/>
  <c r="L73" i="3" s="1"/>
  <c r="J73" i="3"/>
  <c r="T73" i="3" s="1"/>
  <c r="O73" i="3" l="1"/>
  <c r="R73" i="3" s="1"/>
  <c r="M73" i="3"/>
  <c r="P73" i="3" s="1"/>
  <c r="N73" i="3"/>
  <c r="Q73" i="3" s="1"/>
  <c r="D74" i="3" l="1"/>
  <c r="E74" i="3" s="1"/>
  <c r="F74" i="3" s="1"/>
  <c r="G74" i="3" s="1"/>
  <c r="H74" i="3" l="1"/>
  <c r="J74" i="3" l="1"/>
  <c r="T74" i="3" s="1"/>
  <c r="K74" i="3"/>
  <c r="L74" i="3" s="1"/>
  <c r="I74" i="3"/>
  <c r="S74" i="3" s="1"/>
  <c r="N74" i="3" l="1"/>
  <c r="Q74" i="3" s="1"/>
  <c r="O74" i="3"/>
  <c r="R74" i="3" s="1"/>
  <c r="M74" i="3"/>
  <c r="P74" i="3" s="1"/>
  <c r="D75" i="3" l="1"/>
  <c r="E75" i="3" s="1"/>
  <c r="F75" i="3" s="1"/>
  <c r="G75" i="3" s="1"/>
  <c r="H75" i="3" l="1"/>
  <c r="U69" i="3"/>
  <c r="K75" i="3" l="1"/>
  <c r="L75" i="3" s="1"/>
  <c r="I75" i="3"/>
  <c r="S75" i="3" s="1"/>
  <c r="S80" i="3" s="1"/>
  <c r="J75" i="3"/>
  <c r="T75" i="3" s="1"/>
  <c r="T80" i="3" s="1"/>
  <c r="O75" i="3" l="1"/>
  <c r="R75" i="3" s="1"/>
  <c r="R80" i="3" s="1"/>
  <c r="M75" i="3"/>
  <c r="P75" i="3" s="1"/>
  <c r="N75" i="3"/>
  <c r="Q75" i="3" s="1"/>
  <c r="Q80" i="3" s="1"/>
  <c r="D81" i="3" l="1"/>
  <c r="E81" i="3" s="1"/>
  <c r="F81" i="3" s="1"/>
  <c r="G81" i="3" s="1"/>
  <c r="H81" i="3" l="1"/>
  <c r="I81" i="3" l="1"/>
  <c r="S81" i="3" s="1"/>
  <c r="K81" i="3"/>
  <c r="L81" i="3" s="1"/>
  <c r="J81" i="3"/>
  <c r="T81" i="3" s="1"/>
  <c r="N81" i="3" l="1"/>
  <c r="Q81" i="3" s="1"/>
  <c r="M81" i="3"/>
  <c r="P81" i="3" s="1"/>
  <c r="O81" i="3"/>
  <c r="R81" i="3" s="1"/>
  <c r="D82" i="3" l="1"/>
  <c r="E82" i="3" s="1"/>
  <c r="F82" i="3" s="1"/>
  <c r="G82" i="3" s="1"/>
  <c r="H82" i="3" s="1"/>
  <c r="K82" i="3" l="1"/>
  <c r="L82" i="3" s="1"/>
  <c r="J82" i="3"/>
  <c r="T82" i="3" s="1"/>
  <c r="I82" i="3"/>
  <c r="S82" i="3" s="1"/>
  <c r="M82" i="3" l="1"/>
  <c r="P82" i="3" s="1"/>
  <c r="N82" i="3"/>
  <c r="Q82" i="3" s="1"/>
  <c r="O82" i="3"/>
  <c r="R82" i="3" s="1"/>
  <c r="D83" i="3" l="1"/>
  <c r="E83" i="3" s="1"/>
  <c r="F83" i="3" s="1"/>
  <c r="G83" i="3" s="1"/>
  <c r="H83" i="3" s="1"/>
  <c r="K83" i="3" l="1"/>
  <c r="L83" i="3" s="1"/>
  <c r="I83" i="3"/>
  <c r="S83" i="3" s="1"/>
  <c r="J83" i="3"/>
  <c r="T83" i="3" s="1"/>
  <c r="N83" i="3" l="1"/>
  <c r="Q83" i="3" s="1"/>
  <c r="M83" i="3"/>
  <c r="P83" i="3" s="1"/>
  <c r="O83" i="3"/>
  <c r="R83" i="3" s="1"/>
  <c r="D84" i="3" l="1"/>
  <c r="E84" i="3" s="1"/>
  <c r="F84" i="3" s="1"/>
  <c r="G84" i="3" s="1"/>
  <c r="H84" i="3" l="1"/>
  <c r="K84" i="3" l="1"/>
  <c r="L84" i="3" s="1"/>
  <c r="J84" i="3"/>
  <c r="T84" i="3" s="1"/>
  <c r="I84" i="3"/>
  <c r="S84" i="3" s="1"/>
  <c r="N84" i="3" l="1"/>
  <c r="Q84" i="3" s="1"/>
  <c r="O84" i="3"/>
  <c r="R84" i="3" s="1"/>
  <c r="M84" i="3"/>
  <c r="P84" i="3" s="1"/>
  <c r="D85" i="3" l="1"/>
  <c r="E85" i="3" s="1"/>
  <c r="F85" i="3" s="1"/>
  <c r="G85" i="3" s="1"/>
  <c r="H85" i="3" l="1"/>
  <c r="I85" i="3" l="1"/>
  <c r="S85" i="3" s="1"/>
  <c r="K85" i="3"/>
  <c r="L85" i="3" s="1"/>
  <c r="J85" i="3"/>
  <c r="T85" i="3" s="1"/>
  <c r="N85" i="3" l="1"/>
  <c r="Q85" i="3" s="1"/>
  <c r="M85" i="3"/>
  <c r="P85" i="3" s="1"/>
  <c r="O85" i="3"/>
  <c r="R85" i="3" s="1"/>
  <c r="D86" i="3" l="1"/>
  <c r="E86" i="3" s="1"/>
  <c r="F86" i="3" s="1"/>
  <c r="G86" i="3" s="1"/>
  <c r="H86" i="3" l="1"/>
  <c r="K86" i="3" l="1"/>
  <c r="L86" i="3" s="1"/>
  <c r="I86" i="3"/>
  <c r="S86" i="3" s="1"/>
  <c r="J86" i="3"/>
  <c r="T86" i="3" s="1"/>
  <c r="M86" i="3" l="1"/>
  <c r="P86" i="3" s="1"/>
  <c r="O86" i="3"/>
  <c r="R86" i="3" s="1"/>
  <c r="N86" i="3"/>
  <c r="Q86" i="3" s="1"/>
  <c r="D87" i="3" l="1"/>
  <c r="E87" i="3" s="1"/>
  <c r="F87" i="3" s="1"/>
  <c r="G87" i="3" s="1"/>
  <c r="H87" i="3" l="1"/>
  <c r="K87" i="3" l="1"/>
  <c r="L87" i="3" s="1"/>
  <c r="I87" i="3"/>
  <c r="S87" i="3" s="1"/>
  <c r="J87" i="3"/>
  <c r="T87" i="3" s="1"/>
  <c r="M87" i="3" l="1"/>
  <c r="P87" i="3" s="1"/>
  <c r="N87" i="3"/>
  <c r="Q87" i="3" s="1"/>
  <c r="O87" i="3"/>
  <c r="R87" i="3" s="1"/>
  <c r="D88" i="3" l="1"/>
  <c r="E88" i="3" s="1"/>
  <c r="F88" i="3" s="1"/>
  <c r="G88" i="3" s="1"/>
  <c r="H88" i="3" l="1"/>
  <c r="I88" i="3" l="1"/>
  <c r="S88" i="3" s="1"/>
  <c r="K88" i="3"/>
  <c r="L88" i="3" s="1"/>
  <c r="J88" i="3"/>
  <c r="T88" i="3" s="1"/>
  <c r="M88" i="3" l="1"/>
  <c r="P88" i="3" s="1"/>
  <c r="O88" i="3"/>
  <c r="R88" i="3" s="1"/>
  <c r="N88" i="3"/>
  <c r="Q88" i="3" s="1"/>
  <c r="D89" i="3" l="1"/>
  <c r="E89" i="3" s="1"/>
  <c r="F89" i="3" s="1"/>
  <c r="G89" i="3" s="1"/>
  <c r="H89" i="3" l="1"/>
  <c r="I89" i="3" l="1"/>
  <c r="S89" i="3" s="1"/>
  <c r="K89" i="3"/>
  <c r="L89" i="3" s="1"/>
  <c r="J89" i="3"/>
  <c r="T89" i="3" s="1"/>
  <c r="N89" i="3" l="1"/>
  <c r="Q89" i="3" s="1"/>
  <c r="M89" i="3"/>
  <c r="P89" i="3" s="1"/>
  <c r="O89" i="3"/>
  <c r="R89" i="3" s="1"/>
  <c r="D90" i="3" l="1"/>
  <c r="E90" i="3" s="1"/>
  <c r="F90" i="3" s="1"/>
  <c r="G90" i="3" s="1"/>
  <c r="H90" i="3" l="1"/>
  <c r="U84" i="3"/>
  <c r="I90" i="3" l="1"/>
  <c r="S90" i="3" s="1"/>
  <c r="K90" i="3"/>
  <c r="L90" i="3" s="1"/>
  <c r="J90" i="3"/>
  <c r="T90" i="3" s="1"/>
  <c r="M90" i="3" l="1"/>
  <c r="P90" i="3" s="1"/>
  <c r="N90" i="3"/>
  <c r="Q90" i="3" s="1"/>
  <c r="O90" i="3"/>
  <c r="R90" i="3" s="1"/>
</calcChain>
</file>

<file path=xl/sharedStrings.xml><?xml version="1.0" encoding="utf-8"?>
<sst xmlns="http://schemas.openxmlformats.org/spreadsheetml/2006/main" count="359" uniqueCount="48">
  <si>
    <t>Data Latih</t>
  </si>
  <si>
    <t>Hidden Layer</t>
  </si>
  <si>
    <t>Outlayer</t>
  </si>
  <si>
    <t>Zinj</t>
  </si>
  <si>
    <t>Zj</t>
  </si>
  <si>
    <t>Yink</t>
  </si>
  <si>
    <t>Yk</t>
  </si>
  <si>
    <t>Error(Hidden Layer)</t>
  </si>
  <si>
    <t>S(k)</t>
  </si>
  <si>
    <t>Del(W0k)</t>
  </si>
  <si>
    <t>Del(W1k)</t>
  </si>
  <si>
    <t>Error (Input Layer)</t>
  </si>
  <si>
    <t>S(inj)</t>
  </si>
  <si>
    <t>S(j)</t>
  </si>
  <si>
    <t>Del(V0j)</t>
  </si>
  <si>
    <t>Del(V1j)</t>
  </si>
  <si>
    <t>Del(V2j)</t>
  </si>
  <si>
    <t>Bobot</t>
  </si>
  <si>
    <t>V01</t>
  </si>
  <si>
    <t>V11</t>
  </si>
  <si>
    <t>V21</t>
  </si>
  <si>
    <t>W01</t>
  </si>
  <si>
    <t>W11</t>
  </si>
  <si>
    <t>Error</t>
  </si>
  <si>
    <t>MSE</t>
  </si>
  <si>
    <t>X1</t>
  </si>
  <si>
    <t>X2</t>
  </si>
  <si>
    <t>Y</t>
  </si>
  <si>
    <t>Sigma</t>
  </si>
  <si>
    <t>Alpha</t>
  </si>
  <si>
    <t>Label</t>
  </si>
  <si>
    <r>
      <t xml:space="preserve">Alpha (α) = </t>
    </r>
    <r>
      <rPr>
        <sz val="10"/>
        <color theme="1"/>
        <rFont val="Arial Unicode MS"/>
      </rPr>
      <t>0.1</t>
    </r>
  </si>
  <si>
    <r>
      <t xml:space="preserve">Sigma (σ) = </t>
    </r>
    <r>
      <rPr>
        <sz val="10"/>
        <color theme="1"/>
        <rFont val="Arial Unicode MS"/>
      </rPr>
      <t>0.9</t>
    </r>
  </si>
  <si>
    <t xml:space="preserve">Alpha (α) </t>
  </si>
  <si>
    <t>Sigma (σ)</t>
  </si>
  <si>
    <t>ITERASI 2</t>
  </si>
  <si>
    <t>ITERASI 1</t>
  </si>
  <si>
    <t>ITERASI 3</t>
  </si>
  <si>
    <t>ITERASI 4</t>
  </si>
  <si>
    <t>ITERASI 5</t>
  </si>
  <si>
    <t>ITERASI 6</t>
  </si>
  <si>
    <t>ITERASI 7</t>
  </si>
  <si>
    <t>ITERASI 8</t>
  </si>
  <si>
    <t>ITERASI 9</t>
  </si>
  <si>
    <t>ITERASI 10</t>
  </si>
  <si>
    <t>Hasil Dengan Average:</t>
  </si>
  <si>
    <t>ANALISIS</t>
  </si>
  <si>
    <t>Dari hasil eksperimen yang sudah dilakukan, kita mencoba membuat model jaringan syaraf tiruan (JST) yang bisa memprediksi output berdasarkan data yang kita punya. Setelah menerapkan bobot awal yaitu V01 = -11,7, V11 = 6,4, V21 = 8,6, W01 = 2,1, dan W11 = -9,8, kita mendapat nilai MSE (Mean Squared Error) sekitar 0,09077, yang udah cukup mendekati target kita di bawah 0,1. Jadi, secara keseluruhan, model ini udah bisa bekerja dengan cukup baik dalam memodelkan hubungan antara input dan output dari data yang kita punya.
Namun, meskipun MSE-nya sudah oke, kita tetap lanjutkan dengan pelatihan lebih lanjut untuk melihat apakah performa model bisa lebih optimal. Di iterasi pertama, MSE mulai tinggi, yaitu 0,347, tapi setelah iterasi kedua malah makin meningkat jadi 0,490, dan seterusnya, MSE-nya terus meningkat hingga 0,705 di iterasi ke-10. Hal ini menunjukkan bahwa meskipun kita sudah melakukan pelatihan, model nggak bisa semakin baik, bahkan sebaliknya, performanya malah menurun.
Kenapa bisa begitu? Salah satu penyebab yang paling umum adalah learning rate yang terlalu besar. Jadi, di JST, learning rate (α) itu yang menentukan seberapa besar perubahan yang kita lakukan pada bobot tiap iterasi. Kalau learning rate-nya kebesaran, pembaruan bobot jadi terlalu besar dan bisa membuat model 'melompat-lompat' tanpa arah yang jelas, makanya MSE malah makin besar. Di sisi lain, kalau learning rate-nya terlalu kecil, proses pelatihannya bakal jadi sangat lambat dan mungkin nggak mencapai hasil optimal.
Selain itu, kita juga harus ingat kalau kita pakai fungsi aktivasi sigmoid. Fungsi ini punya keterbatasan, karena outputnya cuma antara 0 dan 1. Nah, masalahnya, kalau inputnya terlalu besar atau terlalu kecil, turunan dari fungsi sigmoid bisa mendekati nol, yang membuat pembaruan bobot jadi nggak efektif, alias jadinya lambat atau nggak bisa belajar dengan baik.
Ada juga kemungkinan lain, yaitu overfitting. Overfitting itu terjadi ketika model kita terlalu 'terikat' pada data latih dan mulai mengingat detail-detail yang nggak penting, bahkan noise sekalipun. Biasanya, ini terjadi kalau modelnya terlalu banyak iterasi, atau kalau learning rate-nya kebesaran. Model jadi 'terlalu sensitif' terhadap data latih dan bisa mempengaruhi performa di data lain, yang nggak baik tentunya.
Namun, meskipun MSE kita masih jauh dari target 0,1 di beberapa iterasi, bobot yang kita pilih di awal udah cukup oke dan hasilnya masih lumayan mendekati apa yang kita harapkan. Jadi, kunci utamanya adalah menyesuaikan parameter seperti learning rate dan teknik optimasi yang lebih baik. Bisa juga coba pakai algoritma optimasi lain, seperti Adam atau RMSProp, yang bisa menyesuaikan learning rate secara otomatis supaya proses pelatihan lebih stabil dan lebih cepat menuju konvergensi.
Secara keseluruhan, meskipun hasil awal udah cukup baik dengan MSE di bawah 0,1, kita tetap harus hati-hati dengan parameter-parameter yang kita pakai selama pelatihan. Jadi, next step-nya, kita bisa coba eksperimen lagi dengan learning rate yang lebih pas dan mungkin pakai algoritma optimasi lain supaya modelnya bisa lebih stabil dan MSE-nya makin rendah. Yang pasti, eksperimen ini bikin kita lebih paham kalau pelatihan JST itu nggak bisa asal-asalan, butuh banyak penyesuaian untuk dapetin hasil terbaik.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</si>
</sst>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p&quot;* #,##0.00_-;\-&quot;Rp&quot;* #,##0.00_-;_-&quot;Rp&quot;* &quot;-&quot;??_-;_-@_-"/>
    <numFmt numFmtId="164" formatCode="0.0000"/>
  </numFmts>
  <fonts count="9">
    <font>
      <sz val="11"/>
      <color theme="1"/>
      <name val="Aptos Narrow"/>
      <family val="2"/>
      <charset val="1"/>
      <scheme val="minor"/>
    </font>
    <font>
      <sz val="11"/>
      <color theme="1"/>
      <name val="Aptos Narrow"/>
      <family val="2"/>
      <charset val="1"/>
      <scheme val="minor"/>
    </font>
    <font>
      <b/>
      <sz val="11"/>
      <color theme="1"/>
      <name val="Aptos Narrow"/>
      <family val="2"/>
      <charset val="1"/>
      <scheme val="minor"/>
    </font>
    <font>
      <b/>
      <sz val="11"/>
      <color theme="1"/>
      <name val="Aptos Narrow"/>
      <family val="2"/>
      <scheme val="minor"/>
    </font>
    <font>
      <b/>
      <sz val="12"/>
      <color theme="1"/>
      <name val="Aptos Narrow"/>
      <family val="2"/>
      <scheme val="minor"/>
    </font>
    <font>
      <sz val="10"/>
      <color theme="1"/>
      <name val="Arial Unicode MS"/>
    </font>
    <font>
      <sz val="18"/>
      <color theme="1"/>
      <name val="Aptos Narrow"/>
      <family val="2"/>
      <scheme val="minor"/>
    </font>
    <font>
      <sz val="28"/>
      <color theme="1"/>
      <name val="Aptos Narrow"/>
      <family val="2"/>
      <scheme val="minor"/>
    </font>
    <font>
      <sz val="48"/>
      <color theme="1"/>
      <name val="Times New Roman"/>
      <family val="1"/>
    </font>
  </fonts>
  <fills count="9">
    <fill>
      <patternFill patternType="none"/>
    </fill>
    <fill>
      <patternFill patternType="gray125"/>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theme="5"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37">
    <xf numFmtId="0" fontId="0" fillId="0" borderId="0" xfId="0"/>
    <xf numFmtId="0" fontId="0" fillId="0" borderId="1" xfId="0" applyBorder="1"/>
    <xf numFmtId="0" fontId="2" fillId="0" borderId="1" xfId="0" applyFont="1" applyBorder="1" applyAlignment="1">
      <alignment horizontal="center" vertical="center" wrapText="1"/>
    </xf>
    <xf numFmtId="0" fontId="0" fillId="0" borderId="1" xfId="0" applyBorder="1" applyAlignment="1">
      <alignment vertical="center" wrapText="1"/>
    </xf>
    <xf numFmtId="0" fontId="3" fillId="0" borderId="1" xfId="0" applyFont="1" applyBorder="1"/>
    <xf numFmtId="0" fontId="2" fillId="2" borderId="1" xfId="0" applyFont="1" applyFill="1" applyBorder="1" applyAlignment="1">
      <alignment horizontal="center" vertical="center" wrapText="1"/>
    </xf>
    <xf numFmtId="0" fontId="0" fillId="2" borderId="1" xfId="0" applyFill="1" applyBorder="1"/>
    <xf numFmtId="0" fontId="0" fillId="3" borderId="2" xfId="0" applyFill="1" applyBorder="1"/>
    <xf numFmtId="0" fontId="0" fillId="3" borderId="3" xfId="0" applyFill="1" applyBorder="1" applyAlignment="1">
      <alignment vertical="center" wrapText="1"/>
    </xf>
    <xf numFmtId="0" fontId="0" fillId="3" borderId="4" xfId="0" applyFill="1" applyBorder="1"/>
    <xf numFmtId="0" fontId="0" fillId="3" borderId="5" xfId="0" applyFill="1" applyBorder="1" applyAlignment="1">
      <alignment vertical="center" wrapText="1"/>
    </xf>
    <xf numFmtId="0" fontId="4" fillId="4" borderId="1" xfId="0" applyFont="1"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5" borderId="2" xfId="0" applyFill="1" applyBorder="1"/>
    <xf numFmtId="0" fontId="0" fillId="5" borderId="3" xfId="0" applyFill="1" applyBorder="1"/>
    <xf numFmtId="0" fontId="0" fillId="5" borderId="4" xfId="0" applyFill="1" applyBorder="1"/>
    <xf numFmtId="0" fontId="0" fillId="5" borderId="5" xfId="0" applyFill="1" applyBorder="1"/>
    <xf numFmtId="0" fontId="0" fillId="0" borderId="6" xfId="0" applyBorder="1" applyAlignment="1">
      <alignment vertical="center" wrapText="1"/>
    </xf>
    <xf numFmtId="3" fontId="3" fillId="0" borderId="1" xfId="0" applyNumberFormat="1" applyFont="1" applyBorder="1"/>
    <xf numFmtId="0" fontId="3" fillId="0" borderId="0" xfId="0" applyFont="1"/>
    <xf numFmtId="164" fontId="0" fillId="0" borderId="1" xfId="0" applyNumberFormat="1" applyBorder="1"/>
    <xf numFmtId="164" fontId="3" fillId="0" borderId="1" xfId="0" applyNumberFormat="1" applyFont="1" applyBorder="1"/>
    <xf numFmtId="2" fontId="3" fillId="0" borderId="1" xfId="0" applyNumberFormat="1" applyFont="1" applyBorder="1"/>
    <xf numFmtId="3" fontId="0" fillId="0" borderId="1" xfId="0" applyNumberFormat="1" applyBorder="1"/>
    <xf numFmtId="0" fontId="0" fillId="7" borderId="2" xfId="0" applyFill="1" applyBorder="1"/>
    <xf numFmtId="0" fontId="0" fillId="7" borderId="3" xfId="0" applyFill="1" applyBorder="1"/>
    <xf numFmtId="0" fontId="0" fillId="7" borderId="4" xfId="0" applyFill="1" applyBorder="1"/>
    <xf numFmtId="0" fontId="0" fillId="7" borderId="5" xfId="0" applyFill="1" applyBorder="1"/>
    <xf numFmtId="0" fontId="3" fillId="0" borderId="1" xfId="0" applyFont="1" applyBorder="1" applyAlignment="1">
      <alignment horizontal="center"/>
    </xf>
    <xf numFmtId="0" fontId="3" fillId="0" borderId="1" xfId="1" applyNumberFormat="1" applyFont="1" applyBorder="1" applyAlignment="1">
      <alignment horizontal="center"/>
    </xf>
    <xf numFmtId="0" fontId="7" fillId="8" borderId="0" xfId="0" applyFont="1" applyFill="1" applyAlignment="1">
      <alignment horizontal="center"/>
    </xf>
    <xf numFmtId="0" fontId="0" fillId="8" borderId="0" xfId="0" applyFill="1" applyAlignment="1">
      <alignment horizontal="center"/>
    </xf>
    <xf numFmtId="0" fontId="8" fillId="6" borderId="0" xfId="0" applyFont="1" applyFill="1" applyAlignment="1">
      <alignment horizontal="center"/>
    </xf>
    <xf numFmtId="0" fontId="0" fillId="6" borderId="0" xfId="0" applyFill="1" applyAlignment="1">
      <alignment horizontal="center"/>
    </xf>
    <xf numFmtId="0" fontId="6" fillId="0" borderId="7" xfId="0" applyFont="1" applyBorder="1" applyAlignment="1">
      <alignment horizontal="left" wrapText="1"/>
    </xf>
    <xf numFmtId="0" fontId="6" fillId="0" borderId="0" xfId="0" applyFont="1" applyAlignment="1">
      <alignment horizontal="lef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BB10-C131-4F6A-B9A9-E197B27ED517}">
  <dimension ref="A1:U19"/>
  <sheetViews>
    <sheetView zoomScale="98" workbookViewId="0">
      <selection activeCell="G10" sqref="G10"/>
    </sheetView>
  </sheetViews>
  <sheetFormatPr defaultRowHeight="14.4"/>
  <cols>
    <col min="4" max="4" width="11.88671875" customWidth="1"/>
    <col min="5" max="5" width="12.5546875" customWidth="1"/>
    <col min="6" max="6" width="15.77734375" customWidth="1"/>
    <col min="7" max="7" width="14.6640625" customWidth="1"/>
    <col min="8" max="8" width="12.77734375" customWidth="1"/>
    <col min="9" max="9" width="12.88671875" customWidth="1"/>
    <col min="10" max="10" width="13.5546875" customWidth="1"/>
    <col min="11" max="12" width="14.109375" customWidth="1"/>
    <col min="13" max="13" width="15.88671875" customWidth="1"/>
    <col min="14" max="14" width="13.88671875" customWidth="1"/>
    <col min="15" max="15" width="13.44140625" customWidth="1"/>
    <col min="16" max="16" width="14.109375" customWidth="1"/>
    <col min="17" max="17" width="13.5546875" customWidth="1"/>
    <col min="18" max="18" width="13.33203125" customWidth="1"/>
    <col min="19" max="19" width="12.88671875" customWidth="1"/>
    <col min="20" max="20" width="13.5546875" customWidth="1"/>
    <col min="21" max="21" width="13.21875" customWidth="1"/>
  </cols>
  <sheetData>
    <row r="1" spans="1:21">
      <c r="A1" s="29" t="s">
        <v>0</v>
      </c>
      <c r="B1" s="29"/>
      <c r="C1" s="29"/>
      <c r="D1" s="29" t="s">
        <v>1</v>
      </c>
      <c r="E1" s="29"/>
      <c r="F1" s="30" t="s">
        <v>2</v>
      </c>
      <c r="G1" s="30"/>
      <c r="H1" s="29" t="s">
        <v>7</v>
      </c>
      <c r="I1" s="29"/>
      <c r="J1" s="29"/>
      <c r="K1" s="29" t="s">
        <v>11</v>
      </c>
      <c r="L1" s="29"/>
      <c r="M1" s="29"/>
      <c r="N1" s="29"/>
      <c r="O1" s="29"/>
      <c r="P1" s="29" t="s">
        <v>17</v>
      </c>
      <c r="Q1" s="29"/>
      <c r="R1" s="29"/>
      <c r="S1" s="29"/>
      <c r="T1" s="29"/>
      <c r="U1" s="4" t="s">
        <v>23</v>
      </c>
    </row>
    <row r="2" spans="1:21">
      <c r="A2" s="2" t="s">
        <v>25</v>
      </c>
      <c r="B2" s="2" t="s">
        <v>26</v>
      </c>
      <c r="C2" s="2" t="s">
        <v>27</v>
      </c>
      <c r="D2" s="2" t="s">
        <v>3</v>
      </c>
      <c r="E2" s="2" t="s">
        <v>4</v>
      </c>
      <c r="F2" s="2" t="s">
        <v>5</v>
      </c>
      <c r="G2" s="2" t="s">
        <v>6</v>
      </c>
      <c r="H2" s="2" t="s">
        <v>8</v>
      </c>
      <c r="I2" s="2" t="s">
        <v>9</v>
      </c>
      <c r="J2" s="2" t="s">
        <v>10</v>
      </c>
      <c r="K2" s="2" t="s">
        <v>12</v>
      </c>
      <c r="L2" s="2" t="s">
        <v>13</v>
      </c>
      <c r="M2" s="2" t="s">
        <v>14</v>
      </c>
      <c r="N2" s="2" t="s">
        <v>15</v>
      </c>
      <c r="O2" s="2" t="s">
        <v>16</v>
      </c>
      <c r="P2" s="2" t="s">
        <v>18</v>
      </c>
      <c r="Q2" s="2" t="s">
        <v>19</v>
      </c>
      <c r="R2" s="2" t="s">
        <v>20</v>
      </c>
      <c r="S2" s="2" t="s">
        <v>21</v>
      </c>
      <c r="T2" s="2" t="s">
        <v>22</v>
      </c>
      <c r="U2" s="2" t="s">
        <v>24</v>
      </c>
    </row>
    <row r="3" spans="1:21">
      <c r="A3" s="5"/>
      <c r="B3" s="5"/>
      <c r="C3" s="5"/>
      <c r="D3" s="6"/>
      <c r="E3" s="6"/>
      <c r="F3" s="6"/>
      <c r="G3" s="6"/>
      <c r="H3" s="6"/>
      <c r="I3" s="6"/>
      <c r="J3" s="6"/>
      <c r="K3" s="6"/>
      <c r="L3" s="6"/>
      <c r="M3" s="6"/>
      <c r="N3" s="6"/>
      <c r="O3" s="6"/>
      <c r="P3" s="4">
        <v>1.7189460000000001</v>
      </c>
      <c r="Q3" s="4">
        <v>-1.2631779999999999</v>
      </c>
      <c r="R3" s="4">
        <v>-1.0630919999999999</v>
      </c>
      <c r="S3" s="4">
        <v>-0.54117999999999999</v>
      </c>
      <c r="T3" s="4">
        <v>0.54396</v>
      </c>
      <c r="U3" s="1"/>
    </row>
    <row r="4" spans="1:21">
      <c r="A4" s="3">
        <v>0</v>
      </c>
      <c r="B4" s="3">
        <v>0</v>
      </c>
      <c r="C4" s="3">
        <v>0</v>
      </c>
      <c r="D4" s="1">
        <f>P3+(Q3*A4)+(R3*B4)</f>
        <v>1.7189460000000001</v>
      </c>
      <c r="E4" s="1">
        <f>1/(1+EXP(-$B$9*D4))</f>
        <v>0.84799302466861071</v>
      </c>
      <c r="F4" s="1">
        <f>S3+(T3*E4)</f>
        <v>-7.9905714301262531E-2</v>
      </c>
      <c r="G4" s="1">
        <f>1/(1+EXP(-$B$9*F4))</f>
        <v>0.48003419363935218</v>
      </c>
      <c r="H4" s="1">
        <f>(C4-G4)*$B$9*G4*(1-G4)</f>
        <v>-0.1198171907357677</v>
      </c>
      <c r="I4" s="1">
        <f>$B$10*H4</f>
        <v>-1.1981719073576771E-3</v>
      </c>
      <c r="J4" s="1">
        <f>$B$10*H4*E4</f>
        <v>-1.0160414197931951E-3</v>
      </c>
      <c r="K4" s="1">
        <f>H4+T3</f>
        <v>0.42414280926423231</v>
      </c>
      <c r="L4" s="1">
        <f>K4*$B$9*E4*(1-E4)</f>
        <v>5.4672370663794816E-2</v>
      </c>
      <c r="M4" s="1">
        <f>$B$10*L4</f>
        <v>5.4672370663794818E-4</v>
      </c>
      <c r="N4" s="1">
        <f>$B$10*L4*A4</f>
        <v>0</v>
      </c>
      <c r="O4" s="1">
        <f>$B$10*L4*B4</f>
        <v>0</v>
      </c>
      <c r="P4" s="1">
        <f>P3+M4</f>
        <v>1.719492723706638</v>
      </c>
      <c r="Q4" s="1">
        <f>Q3+N4</f>
        <v>-1.2631779999999999</v>
      </c>
      <c r="R4" s="1">
        <f>R3+O4</f>
        <v>-1.0630919999999999</v>
      </c>
      <c r="S4" s="1">
        <f>S3+I4</f>
        <v>-0.54237817190735771</v>
      </c>
      <c r="T4" s="1">
        <f>T3+J4</f>
        <v>0.54294395858020683</v>
      </c>
      <c r="U4" s="1"/>
    </row>
    <row r="5" spans="1:21">
      <c r="A5" s="3">
        <v>0</v>
      </c>
      <c r="B5" s="3">
        <v>1</v>
      </c>
      <c r="C5" s="3">
        <v>1</v>
      </c>
      <c r="D5" s="1">
        <f t="shared" ref="D5:D7" si="0">P4+(Q4*A5)+(R4*B5)</f>
        <v>0.65640072370663805</v>
      </c>
      <c r="E5" s="1">
        <f t="shared" ref="E5:E7" si="1">1/(1+EXP(-$B$9*D5))</f>
        <v>0.6584513981010075</v>
      </c>
      <c r="F5" s="1">
        <f t="shared" ref="F5:F7" si="2">S4+(T4*E5)</f>
        <v>-0.184875963289725</v>
      </c>
      <c r="G5" s="1">
        <f t="shared" ref="G5:G7" si="3">1/(1+EXP(-$B$9*F5))</f>
        <v>0.45391220449148778</v>
      </c>
      <c r="H5" s="1">
        <f t="shared" ref="H5:H7" si="4">(C5-G5)*$B$9*G5*(1-G5)</f>
        <v>0.13536201203943496</v>
      </c>
      <c r="I5" s="1">
        <f t="shared" ref="I5:I7" si="5">$B$10*H5</f>
        <v>1.3536201203943497E-3</v>
      </c>
      <c r="J5" s="1">
        <f t="shared" ref="J5:J7" si="6">$B$10*H5*E5</f>
        <v>8.9129306077131369E-4</v>
      </c>
      <c r="K5" s="1">
        <f t="shared" ref="K5:K7" si="7">H5+T4</f>
        <v>0.67830597061964182</v>
      </c>
      <c r="L5" s="1">
        <f t="shared" ref="L5:L7" si="8">K5*$B$9*E5*(1-E5)</f>
        <v>0.15254636940802599</v>
      </c>
      <c r="M5" s="1">
        <f t="shared" ref="M5:M7" si="9">$B$10*L5</f>
        <v>1.52546369408026E-3</v>
      </c>
      <c r="N5" s="1">
        <f t="shared" ref="N5:N7" si="10">$B$10*L5*A5</f>
        <v>0</v>
      </c>
      <c r="O5" s="1">
        <f t="shared" ref="O5:O6" si="11">$B$10*L5*B5</f>
        <v>1.52546369408026E-3</v>
      </c>
      <c r="P5" s="1">
        <f t="shared" ref="P5:P6" si="12">P4+M5</f>
        <v>1.7210181874007182</v>
      </c>
      <c r="Q5" s="1">
        <f t="shared" ref="Q5:Q7" si="13">Q4+N5</f>
        <v>-1.2631779999999999</v>
      </c>
      <c r="R5" s="1">
        <f t="shared" ref="R5:R7" si="14">R4+O5</f>
        <v>-1.0615665363059197</v>
      </c>
      <c r="S5" s="1">
        <f t="shared" ref="S5:S7" si="15">S4+I5</f>
        <v>-0.5410245517869634</v>
      </c>
      <c r="T5" s="1">
        <f t="shared" ref="T5:T7" si="16">T4+J5</f>
        <v>0.54383525164097812</v>
      </c>
      <c r="U5" s="1"/>
    </row>
    <row r="6" spans="1:21">
      <c r="A6" s="3">
        <v>1</v>
      </c>
      <c r="B6" s="3">
        <v>0</v>
      </c>
      <c r="C6" s="3">
        <v>1</v>
      </c>
      <c r="D6" s="1">
        <f t="shared" si="0"/>
        <v>0.4578401874007183</v>
      </c>
      <c r="E6" s="1">
        <f t="shared" si="1"/>
        <v>0.61250168366187296</v>
      </c>
      <c r="F6" s="1">
        <f t="shared" si="2"/>
        <v>-0.20792454452218595</v>
      </c>
      <c r="G6" s="1">
        <f t="shared" si="3"/>
        <v>0.44820533113985828</v>
      </c>
      <c r="H6" s="1">
        <f t="shared" si="4"/>
        <v>0.13646837443163623</v>
      </c>
      <c r="I6" s="1">
        <f t="shared" si="5"/>
        <v>1.3646837443163622E-3</v>
      </c>
      <c r="J6" s="1">
        <f t="shared" si="6"/>
        <v>8.3587109105976083E-4</v>
      </c>
      <c r="K6" s="1">
        <f t="shared" si="7"/>
        <v>0.6803036260726143</v>
      </c>
      <c r="L6" s="1">
        <f t="shared" si="8"/>
        <v>0.16146555603345619</v>
      </c>
      <c r="M6" s="1">
        <f t="shared" si="9"/>
        <v>1.6146555603345619E-3</v>
      </c>
      <c r="N6" s="1">
        <f t="shared" si="10"/>
        <v>1.6146555603345619E-3</v>
      </c>
      <c r="O6" s="1">
        <f t="shared" si="11"/>
        <v>0</v>
      </c>
      <c r="P6" s="1">
        <f t="shared" si="12"/>
        <v>1.7226328429610527</v>
      </c>
      <c r="Q6" s="1">
        <f t="shared" si="13"/>
        <v>-1.2615633444396654</v>
      </c>
      <c r="R6" s="1">
        <f t="shared" si="14"/>
        <v>-1.0615665363059197</v>
      </c>
      <c r="S6" s="1">
        <f t="shared" si="15"/>
        <v>-0.5396598680426471</v>
      </c>
      <c r="T6" s="1">
        <f t="shared" si="16"/>
        <v>0.54467112273203788</v>
      </c>
      <c r="U6" s="1"/>
    </row>
    <row r="7" spans="1:21">
      <c r="A7" s="3">
        <v>1</v>
      </c>
      <c r="B7" s="3">
        <v>1</v>
      </c>
      <c r="C7" s="3">
        <v>0</v>
      </c>
      <c r="D7" s="1">
        <f t="shared" si="0"/>
        <v>-0.60049703778453245</v>
      </c>
      <c r="E7" s="1">
        <f t="shared" si="1"/>
        <v>0.35422998759648361</v>
      </c>
      <c r="F7" s="1">
        <f t="shared" si="2"/>
        <v>-0.34672102299311452</v>
      </c>
      <c r="G7" s="1">
        <f t="shared" si="3"/>
        <v>0.41417778965078283</v>
      </c>
      <c r="H7" s="1">
        <f t="shared" si="4"/>
        <v>-0.100493840870855</v>
      </c>
      <c r="I7" s="1">
        <f t="shared" si="5"/>
        <v>-1.00493840870855E-3</v>
      </c>
      <c r="J7" s="1">
        <f t="shared" si="6"/>
        <v>-3.5597932005205964E-4</v>
      </c>
      <c r="K7" s="1">
        <f t="shared" si="7"/>
        <v>0.44417728186118288</v>
      </c>
      <c r="L7" s="1">
        <f t="shared" si="8"/>
        <v>0.1016060433682154</v>
      </c>
      <c r="M7" s="1">
        <f t="shared" si="9"/>
        <v>1.016060433682154E-3</v>
      </c>
      <c r="N7" s="1">
        <f t="shared" si="10"/>
        <v>1.016060433682154E-3</v>
      </c>
      <c r="O7" s="1">
        <f>$B$10*L7*B7</f>
        <v>1.016060433682154E-3</v>
      </c>
      <c r="P7" s="1">
        <f>P6+M7</f>
        <v>1.7236489033947349</v>
      </c>
      <c r="Q7" s="1">
        <f t="shared" si="13"/>
        <v>-1.2605472840059833</v>
      </c>
      <c r="R7" s="1">
        <f t="shared" si="14"/>
        <v>-1.0605504758722375</v>
      </c>
      <c r="S7" s="1">
        <f t="shared" si="15"/>
        <v>-0.54066480645135562</v>
      </c>
      <c r="T7" s="1">
        <f t="shared" si="16"/>
        <v>0.54431514341198584</v>
      </c>
      <c r="U7" s="1">
        <f>(((C4-G4)^2)+((C5-G5)^2)+(C6-G6)^2+(C7-G7)^2)/4</f>
        <v>0.25116632637220282</v>
      </c>
    </row>
    <row r="9" spans="1:21">
      <c r="A9" s="7" t="s">
        <v>28</v>
      </c>
      <c r="B9" s="8">
        <v>1</v>
      </c>
    </row>
    <row r="10" spans="1:21">
      <c r="A10" s="9" t="s">
        <v>29</v>
      </c>
      <c r="B10" s="10">
        <v>0.01</v>
      </c>
    </row>
    <row r="13" spans="1:21">
      <c r="A13" s="29" t="s">
        <v>0</v>
      </c>
      <c r="B13" s="29"/>
      <c r="C13" s="29"/>
      <c r="D13" s="29" t="s">
        <v>1</v>
      </c>
      <c r="E13" s="29"/>
      <c r="F13" s="30" t="s">
        <v>2</v>
      </c>
      <c r="G13" s="30"/>
      <c r="H13" s="29" t="s">
        <v>7</v>
      </c>
      <c r="I13" s="29"/>
      <c r="J13" s="29"/>
      <c r="K13" s="29" t="s">
        <v>11</v>
      </c>
      <c r="L13" s="29"/>
      <c r="M13" s="29"/>
      <c r="N13" s="29"/>
      <c r="O13" s="29"/>
      <c r="P13" s="29" t="s">
        <v>17</v>
      </c>
      <c r="Q13" s="29"/>
      <c r="R13" s="29"/>
      <c r="S13" s="29"/>
      <c r="T13" s="29"/>
      <c r="U13" s="4" t="s">
        <v>23</v>
      </c>
    </row>
    <row r="14" spans="1:21">
      <c r="A14" s="2" t="s">
        <v>25</v>
      </c>
      <c r="B14" s="2" t="s">
        <v>26</v>
      </c>
      <c r="C14" s="2" t="s">
        <v>27</v>
      </c>
      <c r="D14" s="2" t="s">
        <v>3</v>
      </c>
      <c r="E14" s="2" t="s">
        <v>4</v>
      </c>
      <c r="F14" s="2" t="s">
        <v>5</v>
      </c>
      <c r="G14" s="2" t="s">
        <v>6</v>
      </c>
      <c r="H14" s="2" t="s">
        <v>8</v>
      </c>
      <c r="I14" s="2" t="s">
        <v>9</v>
      </c>
      <c r="J14" s="2" t="s">
        <v>10</v>
      </c>
      <c r="K14" s="2" t="s">
        <v>12</v>
      </c>
      <c r="L14" s="2" t="s">
        <v>13</v>
      </c>
      <c r="M14" s="2" t="s">
        <v>14</v>
      </c>
      <c r="N14" s="2" t="s">
        <v>15</v>
      </c>
      <c r="O14" s="2" t="s">
        <v>16</v>
      </c>
      <c r="P14" s="2" t="s">
        <v>18</v>
      </c>
      <c r="Q14" s="2" t="s">
        <v>19</v>
      </c>
      <c r="R14" s="2" t="s">
        <v>20</v>
      </c>
      <c r="S14" s="2" t="s">
        <v>21</v>
      </c>
      <c r="T14" s="2" t="s">
        <v>22</v>
      </c>
      <c r="U14" s="2" t="s">
        <v>24</v>
      </c>
    </row>
    <row r="15" spans="1:21">
      <c r="A15" s="5"/>
      <c r="B15" s="5"/>
      <c r="C15" s="5"/>
      <c r="D15" s="6"/>
      <c r="E15" s="6"/>
      <c r="F15" s="6"/>
      <c r="G15" s="6"/>
      <c r="H15" s="6"/>
      <c r="I15" s="6"/>
      <c r="J15" s="6"/>
      <c r="K15" s="6"/>
      <c r="L15" s="6"/>
      <c r="M15" s="6"/>
      <c r="N15" s="6"/>
      <c r="O15" s="6"/>
      <c r="P15" s="4">
        <v>1.7236488999999999</v>
      </c>
      <c r="Q15" s="4">
        <v>-1.260545284</v>
      </c>
      <c r="R15" s="4">
        <v>-1.0605504750000001</v>
      </c>
      <c r="S15" s="4">
        <v>-0.54046648070000003</v>
      </c>
      <c r="T15" s="4">
        <v>0.54431514299999995</v>
      </c>
      <c r="U15" s="1"/>
    </row>
    <row r="16" spans="1:21">
      <c r="A16" s="3">
        <v>0</v>
      </c>
      <c r="B16" s="3">
        <v>0</v>
      </c>
      <c r="C16" s="3">
        <v>0</v>
      </c>
      <c r="D16" s="1">
        <f>P15+(Q15*A16)+(R15*B16)</f>
        <v>1.7236488999999999</v>
      </c>
      <c r="E16" s="1">
        <f>1/(1+EXP(-$B$9*D16))</f>
        <v>0.84859824090048852</v>
      </c>
      <c r="F16" s="1">
        <f>S15+(T15*E16)</f>
        <v>-7.8561607854702231E-2</v>
      </c>
      <c r="G16" s="1">
        <f>1/(1+EXP(-$B$9*F16))</f>
        <v>0.4803696933982558</v>
      </c>
      <c r="H16" s="1">
        <f>(C16-G16)*$B$9*G16*(1-G16)</f>
        <v>-0.11990731339871216</v>
      </c>
      <c r="I16" s="1">
        <f>$B$10*H16</f>
        <v>-1.1990731339871217E-3</v>
      </c>
      <c r="J16" s="1">
        <f>$B$10*H16*E16</f>
        <v>-1.0175313522125073E-3</v>
      </c>
      <c r="K16" s="1">
        <f>H16+T15</f>
        <v>0.42440782960128776</v>
      </c>
      <c r="L16" s="1">
        <f>K16*$B$9*E16*(1-E16)</f>
        <v>5.4527606619026441E-2</v>
      </c>
      <c r="M16" s="1">
        <f>$B$10*L16</f>
        <v>5.4527606619026445E-4</v>
      </c>
      <c r="N16" s="1">
        <f>$B$10*L16*A16</f>
        <v>0</v>
      </c>
      <c r="O16" s="1">
        <f>$B$10*L16*B16</f>
        <v>0</v>
      </c>
      <c r="P16" s="1">
        <f>P15+M16</f>
        <v>1.7241941760661903</v>
      </c>
      <c r="Q16" s="1">
        <f>Q15+N16</f>
        <v>-1.260545284</v>
      </c>
      <c r="R16" s="1">
        <f>R15+O16</f>
        <v>-1.0605504750000001</v>
      </c>
      <c r="S16" s="1">
        <f>S15+I16</f>
        <v>-0.54166555383398718</v>
      </c>
      <c r="T16" s="1">
        <f>T15+J16</f>
        <v>0.54329761164778745</v>
      </c>
      <c r="U16" s="1"/>
    </row>
    <row r="17" spans="1:21">
      <c r="A17" s="3">
        <v>0</v>
      </c>
      <c r="B17" s="3">
        <v>1</v>
      </c>
      <c r="C17" s="3">
        <v>1</v>
      </c>
      <c r="D17" s="1">
        <f t="shared" ref="D17:D19" si="17">P16+(Q16*A17)+(R16*B17)</f>
        <v>0.66364370106619019</v>
      </c>
      <c r="E17" s="1">
        <f t="shared" ref="E17:E19" si="18">1/(1+EXP(-$B$9*D17))</f>
        <v>0.66007841974656445</v>
      </c>
      <c r="F17" s="1">
        <f t="shared" ref="F17:F19" si="19">S16+(T16*E17)</f>
        <v>-0.18304652488543299</v>
      </c>
      <c r="G17" s="1">
        <f t="shared" ref="G17:G19" si="20">1/(1+EXP(-$B$9*F17))</f>
        <v>0.45436571632134554</v>
      </c>
      <c r="H17" s="1">
        <f t="shared" ref="H17:H19" si="21">(C17-G17)*$B$9*G17*(1-G17)</f>
        <v>0.13527229415507055</v>
      </c>
      <c r="I17" s="1">
        <f t="shared" ref="I17:I19" si="22">$B$10*H17</f>
        <v>1.3527229415507057E-3</v>
      </c>
      <c r="J17" s="1">
        <f t="shared" ref="J17:J19" si="23">$B$10*H17*E17</f>
        <v>8.9290322161371405E-4</v>
      </c>
      <c r="K17" s="1">
        <f t="shared" ref="K17:K19" si="24">H17+T16</f>
        <v>0.67856990580285803</v>
      </c>
      <c r="L17" s="1">
        <f t="shared" ref="L17:L19" si="25">K17*$B$9*E17*(1-E17)</f>
        <v>0.15225405443957682</v>
      </c>
      <c r="M17" s="1">
        <f t="shared" ref="M17:M19" si="26">$B$10*L17</f>
        <v>1.5225405443957682E-3</v>
      </c>
      <c r="N17" s="1">
        <f t="shared" ref="N17:N19" si="27">$B$10*L17*A17</f>
        <v>0</v>
      </c>
      <c r="O17" s="1">
        <f t="shared" ref="O17:O18" si="28">$B$10*L17*B17</f>
        <v>1.5225405443957682E-3</v>
      </c>
      <c r="P17" s="1">
        <f t="shared" ref="P17:P19" si="29">P16+M17</f>
        <v>1.725716716610586</v>
      </c>
      <c r="Q17" s="1">
        <f t="shared" ref="Q17:Q19" si="30">Q16+N17</f>
        <v>-1.260545284</v>
      </c>
      <c r="R17" s="1">
        <f t="shared" ref="R17:R19" si="31">R16+O17</f>
        <v>-1.0590279344556044</v>
      </c>
      <c r="S17" s="1">
        <f t="shared" ref="S17:S19" si="32">S16+I17</f>
        <v>-0.54031283089243642</v>
      </c>
      <c r="T17" s="1">
        <f t="shared" ref="T17:T19" si="33">T16+J17</f>
        <v>0.54419051486940118</v>
      </c>
      <c r="U17" s="1"/>
    </row>
    <row r="18" spans="1:21">
      <c r="A18" s="3">
        <v>1</v>
      </c>
      <c r="B18" s="3">
        <v>0</v>
      </c>
      <c r="C18" s="3">
        <v>1</v>
      </c>
      <c r="D18" s="1">
        <f t="shared" si="17"/>
        <v>0.46517143261058602</v>
      </c>
      <c r="E18" s="1">
        <f t="shared" si="18"/>
        <v>0.6142402643857664</v>
      </c>
      <c r="F18" s="1">
        <f t="shared" si="19"/>
        <v>-0.20604910516282909</v>
      </c>
      <c r="G18" s="1">
        <f t="shared" si="20"/>
        <v>0.44866920468522753</v>
      </c>
      <c r="H18" s="1">
        <f t="shared" si="21"/>
        <v>0.13638002458072329</v>
      </c>
      <c r="I18" s="1">
        <f t="shared" si="22"/>
        <v>1.3638002458072329E-3</v>
      </c>
      <c r="J18" s="1">
        <f t="shared" si="23"/>
        <v>8.3770102355400797E-4</v>
      </c>
      <c r="K18" s="1">
        <f t="shared" si="24"/>
        <v>0.68057053945012447</v>
      </c>
      <c r="L18" s="1">
        <f t="shared" si="25"/>
        <v>0.1612606189998787</v>
      </c>
      <c r="M18" s="1">
        <f t="shared" si="26"/>
        <v>1.612606189998787E-3</v>
      </c>
      <c r="N18" s="1">
        <f t="shared" si="27"/>
        <v>1.612606189998787E-3</v>
      </c>
      <c r="O18" s="1">
        <f t="shared" si="28"/>
        <v>0</v>
      </c>
      <c r="P18" s="1">
        <f t="shared" si="29"/>
        <v>1.7273293228005848</v>
      </c>
      <c r="Q18" s="1">
        <f t="shared" si="30"/>
        <v>-1.2589326778100012</v>
      </c>
      <c r="R18" s="1">
        <f t="shared" si="31"/>
        <v>-1.0590279344556044</v>
      </c>
      <c r="S18" s="1">
        <f t="shared" si="32"/>
        <v>-0.53894903064662925</v>
      </c>
      <c r="T18" s="1">
        <f t="shared" si="33"/>
        <v>0.54502821589295514</v>
      </c>
      <c r="U18" s="1"/>
    </row>
    <row r="19" spans="1:21">
      <c r="A19" s="3">
        <v>1</v>
      </c>
      <c r="B19" s="3">
        <v>1</v>
      </c>
      <c r="C19" s="3">
        <v>0</v>
      </c>
      <c r="D19" s="1">
        <f t="shared" si="17"/>
        <v>-0.59063128946502075</v>
      </c>
      <c r="E19" s="1">
        <f t="shared" si="18"/>
        <v>0.35649002030139409</v>
      </c>
      <c r="F19" s="1">
        <f t="shared" si="19"/>
        <v>-0.34465191089811709</v>
      </c>
      <c r="G19" s="1">
        <f t="shared" si="20"/>
        <v>0.41467991671560872</v>
      </c>
      <c r="H19" s="1">
        <f t="shared" si="21"/>
        <v>-0.10065130983665099</v>
      </c>
      <c r="I19" s="1">
        <f t="shared" si="22"/>
        <v>-1.0065130983665099E-3</v>
      </c>
      <c r="J19" s="1">
        <f t="shared" si="23"/>
        <v>-3.5881187487029622E-4</v>
      </c>
      <c r="K19" s="1">
        <f t="shared" si="24"/>
        <v>0.44437690605630414</v>
      </c>
      <c r="L19" s="1">
        <f t="shared" si="25"/>
        <v>0.10194223335352237</v>
      </c>
      <c r="M19" s="1">
        <f t="shared" si="26"/>
        <v>1.0194223335352238E-3</v>
      </c>
      <c r="N19" s="1">
        <f t="shared" si="27"/>
        <v>1.0194223335352238E-3</v>
      </c>
      <c r="O19" s="1">
        <f>$B$10*L19*B19</f>
        <v>1.0194223335352238E-3</v>
      </c>
      <c r="P19" s="1">
        <f t="shared" si="29"/>
        <v>1.72834874513412</v>
      </c>
      <c r="Q19" s="1">
        <f t="shared" si="30"/>
        <v>-1.257913255476466</v>
      </c>
      <c r="R19" s="1">
        <f t="shared" si="31"/>
        <v>-1.0580085121220693</v>
      </c>
      <c r="S19" s="1">
        <f t="shared" si="32"/>
        <v>-0.53995554374499577</v>
      </c>
      <c r="T19" s="1">
        <f t="shared" si="33"/>
        <v>0.54466940401808484</v>
      </c>
      <c r="U19" s="1">
        <f>(((C16-G16)^2)+((C17-G17)^2)+(C18-G18)^2+(C19-G19)^2)/4</f>
        <v>0.25109922326268413</v>
      </c>
    </row>
  </sheetData>
  <mergeCells count="12">
    <mergeCell ref="P13:T13"/>
    <mergeCell ref="A1:C1"/>
    <mergeCell ref="D1:E1"/>
    <mergeCell ref="F1:G1"/>
    <mergeCell ref="H1:J1"/>
    <mergeCell ref="K1:O1"/>
    <mergeCell ref="P1:T1"/>
    <mergeCell ref="A13:C13"/>
    <mergeCell ref="D13:E13"/>
    <mergeCell ref="F13:G13"/>
    <mergeCell ref="H13:J13"/>
    <mergeCell ref="K13:O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E2FA3-0C4F-4AE1-A82F-F257D4CF304E}">
  <dimension ref="A1:Z200"/>
  <sheetViews>
    <sheetView tabSelected="1" topLeftCell="A132" zoomScale="70" zoomScaleNormal="85" workbookViewId="0">
      <selection activeCell="R142" sqref="R142"/>
    </sheetView>
  </sheetViews>
  <sheetFormatPr defaultRowHeight="14.4"/>
  <cols>
    <col min="1" max="1" width="11.88671875" bestFit="1" customWidth="1"/>
    <col min="2" max="4" width="9.21875" bestFit="1" customWidth="1"/>
    <col min="5" max="5" width="13.33203125" bestFit="1" customWidth="1"/>
    <col min="6" max="7" width="9.21875" bestFit="1" customWidth="1"/>
    <col min="8" max="8" width="9.33203125" bestFit="1" customWidth="1"/>
    <col min="9" max="9" width="9.44140625" bestFit="1" customWidth="1"/>
    <col min="10" max="10" width="13.109375" bestFit="1" customWidth="1"/>
    <col min="11" max="11" width="9.44140625" bestFit="1" customWidth="1"/>
    <col min="12" max="13" width="14.6640625" bestFit="1" customWidth="1"/>
    <col min="14" max="15" width="13.33203125" bestFit="1" customWidth="1"/>
    <col min="16" max="16" width="21.44140625" customWidth="1"/>
    <col min="17" max="20" width="9.33203125" bestFit="1" customWidth="1"/>
    <col min="21" max="21" width="13.21875" customWidth="1"/>
    <col min="22" max="22" width="21.6640625" customWidth="1"/>
  </cols>
  <sheetData>
    <row r="1" spans="1:26">
      <c r="A1" s="29" t="s">
        <v>0</v>
      </c>
      <c r="B1" s="29"/>
      <c r="C1" s="29"/>
      <c r="D1" s="29" t="s">
        <v>1</v>
      </c>
      <c r="E1" s="29"/>
      <c r="F1" s="30" t="s">
        <v>2</v>
      </c>
      <c r="G1" s="30"/>
      <c r="H1" s="29" t="s">
        <v>7</v>
      </c>
      <c r="I1" s="29"/>
      <c r="J1" s="29"/>
      <c r="K1" s="29" t="s">
        <v>11</v>
      </c>
      <c r="L1" s="29"/>
      <c r="M1" s="29"/>
      <c r="N1" s="29"/>
      <c r="O1" s="29"/>
      <c r="P1" s="29" t="s">
        <v>17</v>
      </c>
      <c r="Q1" s="29"/>
      <c r="R1" s="29"/>
      <c r="S1" s="29"/>
      <c r="T1" s="29"/>
      <c r="U1" s="4" t="s">
        <v>23</v>
      </c>
    </row>
    <row r="2" spans="1:26">
      <c r="A2" s="2" t="s">
        <v>25</v>
      </c>
      <c r="B2" s="2" t="s">
        <v>26</v>
      </c>
      <c r="C2" s="2" t="s">
        <v>27</v>
      </c>
      <c r="D2" s="2" t="s">
        <v>3</v>
      </c>
      <c r="E2" s="2" t="s">
        <v>4</v>
      </c>
      <c r="F2" s="2" t="s">
        <v>5</v>
      </c>
      <c r="G2" s="2" t="s">
        <v>6</v>
      </c>
      <c r="H2" s="2" t="s">
        <v>8</v>
      </c>
      <c r="I2" s="2" t="s">
        <v>9</v>
      </c>
      <c r="J2" s="2" t="s">
        <v>10</v>
      </c>
      <c r="K2" s="2" t="s">
        <v>12</v>
      </c>
      <c r="L2" s="2" t="s">
        <v>13</v>
      </c>
      <c r="M2" s="2" t="s">
        <v>14</v>
      </c>
      <c r="N2" s="2" t="s">
        <v>15</v>
      </c>
      <c r="O2" s="2" t="s">
        <v>16</v>
      </c>
      <c r="P2" s="2" t="s">
        <v>18</v>
      </c>
      <c r="Q2" s="2" t="s">
        <v>19</v>
      </c>
      <c r="R2" s="2" t="s">
        <v>20</v>
      </c>
      <c r="S2" s="2" t="s">
        <v>21</v>
      </c>
      <c r="T2" s="2" t="s">
        <v>22</v>
      </c>
      <c r="U2" s="2" t="s">
        <v>24</v>
      </c>
    </row>
    <row r="3" spans="1:26">
      <c r="A3" s="5"/>
      <c r="B3" s="5"/>
      <c r="C3" s="5"/>
      <c r="D3" s="6"/>
      <c r="E3" s="6"/>
      <c r="F3" s="6"/>
      <c r="G3" s="6"/>
      <c r="H3" s="6"/>
      <c r="I3" s="6"/>
      <c r="J3" s="6"/>
      <c r="K3" s="6"/>
      <c r="L3" s="6"/>
      <c r="M3" s="6"/>
      <c r="N3" s="6"/>
      <c r="O3" s="6"/>
      <c r="P3" s="4">
        <v>-11.7</v>
      </c>
      <c r="Q3" s="4">
        <v>6.4</v>
      </c>
      <c r="R3" s="4">
        <v>8.6</v>
      </c>
      <c r="S3" s="4">
        <v>2.1</v>
      </c>
      <c r="T3" s="4">
        <v>-9.8000000000000007</v>
      </c>
      <c r="U3" s="1"/>
      <c r="W3" s="31" t="s">
        <v>36</v>
      </c>
      <c r="X3" s="32"/>
      <c r="Y3" s="32"/>
      <c r="Z3" s="32"/>
    </row>
    <row r="4" spans="1:26">
      <c r="A4" s="3">
        <v>0.1</v>
      </c>
      <c r="B4" s="12">
        <v>0.1</v>
      </c>
      <c r="C4" s="12">
        <v>1</v>
      </c>
      <c r="D4" s="21">
        <f>P3+(Q3*A4)+(R3*B4)</f>
        <v>-10.199999999999999</v>
      </c>
      <c r="E4" s="21">
        <f>1/(1+EXP(-$B$15*D4))</f>
        <v>1.0306990864856932E-4</v>
      </c>
      <c r="F4" s="21">
        <f>S3+(T3*E4)</f>
        <v>2.098989914895244</v>
      </c>
      <c r="G4" s="21">
        <f>1/(1+EXP(-$B$15*F4))</f>
        <v>0.86865184347963464</v>
      </c>
      <c r="H4" s="21">
        <f>(C4-G4)*$B$15*G4*(1-G4)</f>
        <v>1.3487647860238513E-2</v>
      </c>
      <c r="I4" s="21">
        <f>$B$16*H4</f>
        <v>1.3487647860238514E-3</v>
      </c>
      <c r="J4" s="21">
        <f>$B$16*H4*E4</f>
        <v>1.390170632838855E-7</v>
      </c>
      <c r="K4" s="21">
        <f>H4+T3</f>
        <v>-9.7865123521397628</v>
      </c>
      <c r="L4" s="21">
        <f>K4*$B$15*E4*(1-E4)</f>
        <v>-9.077318712255837E-4</v>
      </c>
      <c r="M4" s="21">
        <f>$B$16*L4</f>
        <v>-9.0773187122558381E-5</v>
      </c>
      <c r="N4" s="21">
        <f>$B$16*L4*A4</f>
        <v>-9.0773187122558391E-6</v>
      </c>
      <c r="O4" s="21">
        <f>$B$16*L4*B4</f>
        <v>-9.0773187122558391E-6</v>
      </c>
      <c r="P4" s="21">
        <f>P3+M4</f>
        <v>-11.700090773187123</v>
      </c>
      <c r="Q4" s="21">
        <f>Q3+N4</f>
        <v>6.3999909226812877</v>
      </c>
      <c r="R4" s="21">
        <f>R3+O4</f>
        <v>8.5999909226812878</v>
      </c>
      <c r="S4" s="21">
        <f>S3+I4</f>
        <v>2.1013487647860241</v>
      </c>
      <c r="T4" s="21">
        <f>T3+J4</f>
        <v>-9.799999860982938</v>
      </c>
      <c r="U4" s="21">
        <f t="shared" ref="U4:U13" si="0">(C4-G4)^2</f>
        <v>1.7252338221298395E-2</v>
      </c>
      <c r="W4" s="32"/>
      <c r="X4" s="32"/>
      <c r="Y4" s="32"/>
      <c r="Z4" s="32"/>
    </row>
    <row r="5" spans="1:26">
      <c r="A5" s="3">
        <v>0.5</v>
      </c>
      <c r="B5" s="12">
        <v>0.5</v>
      </c>
      <c r="C5" s="12">
        <v>1</v>
      </c>
      <c r="D5" s="21">
        <f t="shared" ref="D5:D13" si="1">P4+(Q4*A5)+(R4*B5)</f>
        <v>-4.2000998505058353</v>
      </c>
      <c r="E5" s="21">
        <f t="shared" ref="E5:E13" si="2">1/(1+EXP(-$B$15*D5))</f>
        <v>2.2311478318931662E-2</v>
      </c>
      <c r="F5" s="21">
        <f t="shared" ref="F5:F13" si="3">S4+(T4*E5)</f>
        <v>1.8826962803621698</v>
      </c>
      <c r="G5" s="21">
        <f t="shared" ref="G5:G13" si="4">1/(1+EXP(-$B$15*F5))</f>
        <v>0.84480542106640755</v>
      </c>
      <c r="H5" s="21">
        <f t="shared" ref="H5:H13" si="5">(C5-G5)*$B$15*G5*(1-G5)</f>
        <v>1.8312696396920149E-2</v>
      </c>
      <c r="I5" s="21">
        <f t="shared" ref="I5:I13" si="6">$B$16*H5</f>
        <v>1.831269639692015E-3</v>
      </c>
      <c r="J5" s="21">
        <f t="shared" ref="J5:J13" si="7">$B$16*H5*E5</f>
        <v>4.0858332862106186E-5</v>
      </c>
      <c r="K5" s="21">
        <f t="shared" ref="K5:K13" si="8">H5+T4</f>
        <v>-9.7816871645860175</v>
      </c>
      <c r="L5" s="21">
        <f t="shared" ref="L5:L13" si="9">K5*$B$15*E5*(1-E5)</f>
        <v>-0.19203710132493693</v>
      </c>
      <c r="M5" s="21">
        <f t="shared" ref="M5:M13" si="10">$B$16*L5</f>
        <v>-1.9203710132493695E-2</v>
      </c>
      <c r="N5" s="21">
        <f t="shared" ref="N5:N13" si="11">$B$16*L5*A5</f>
        <v>-9.6018550662468477E-3</v>
      </c>
      <c r="O5" s="21">
        <f t="shared" ref="O5:O13" si="12">$B$16*L5*B5</f>
        <v>-9.6018550662468477E-3</v>
      </c>
      <c r="P5" s="21">
        <f t="shared" ref="P5:P13" si="13">P4+M5</f>
        <v>-11.719294483319617</v>
      </c>
      <c r="Q5" s="21">
        <f t="shared" ref="Q5:Q13" si="14">Q4+N5</f>
        <v>6.3903890676150406</v>
      </c>
      <c r="R5" s="21">
        <f t="shared" ref="R5:R13" si="15">R4+O5</f>
        <v>8.5903890676150407</v>
      </c>
      <c r="S5" s="21">
        <f t="shared" ref="S5:S13" si="16">S4+I5</f>
        <v>2.1031800344257161</v>
      </c>
      <c r="T5" s="21">
        <f t="shared" ref="T5:T13" si="17">T4+J5</f>
        <v>-9.7999590026500751</v>
      </c>
      <c r="U5" s="21">
        <f t="shared" si="0"/>
        <v>2.4085357330375059E-2</v>
      </c>
      <c r="W5" s="32"/>
      <c r="X5" s="32"/>
      <c r="Y5" s="32"/>
      <c r="Z5" s="32"/>
    </row>
    <row r="6" spans="1:26">
      <c r="A6" s="3">
        <v>0.9</v>
      </c>
      <c r="B6" s="12">
        <v>0.1</v>
      </c>
      <c r="C6" s="12">
        <v>1</v>
      </c>
      <c r="D6" s="21">
        <f t="shared" si="1"/>
        <v>-5.1089054157045766</v>
      </c>
      <c r="E6" s="21">
        <f t="shared" si="2"/>
        <v>9.9713798817990598E-3</v>
      </c>
      <c r="F6" s="21">
        <f t="shared" si="3"/>
        <v>2.0054609203842357</v>
      </c>
      <c r="G6" s="21">
        <f t="shared" si="4"/>
        <v>0.85874616144745086</v>
      </c>
      <c r="H6" s="21">
        <f t="shared" si="5"/>
        <v>1.5420833046987787E-2</v>
      </c>
      <c r="I6" s="21">
        <f t="shared" si="6"/>
        <v>1.5420833046987789E-3</v>
      </c>
      <c r="J6" s="21">
        <f t="shared" si="7"/>
        <v>1.5376698440531613E-5</v>
      </c>
      <c r="K6" s="21">
        <f t="shared" si="8"/>
        <v>-9.7845381696030866</v>
      </c>
      <c r="L6" s="21">
        <f t="shared" si="9"/>
        <v>-8.6933237326442592E-2</v>
      </c>
      <c r="M6" s="21">
        <f t="shared" si="10"/>
        <v>-8.6933237326442588E-3</v>
      </c>
      <c r="N6" s="21">
        <f t="shared" si="11"/>
        <v>-7.8239913593798338E-3</v>
      </c>
      <c r="O6" s="21">
        <f t="shared" si="12"/>
        <v>-8.6933237326442588E-4</v>
      </c>
      <c r="P6" s="21">
        <f t="shared" si="13"/>
        <v>-11.72798780705226</v>
      </c>
      <c r="Q6" s="21">
        <f t="shared" si="14"/>
        <v>6.3825650762556609</v>
      </c>
      <c r="R6" s="21">
        <f t="shared" si="15"/>
        <v>8.589519735241776</v>
      </c>
      <c r="S6" s="21">
        <f t="shared" si="16"/>
        <v>2.104722117730415</v>
      </c>
      <c r="T6" s="21">
        <f t="shared" si="17"/>
        <v>-9.7999436259516344</v>
      </c>
      <c r="U6" s="21">
        <f t="shared" si="0"/>
        <v>1.9952646905829617E-2</v>
      </c>
    </row>
    <row r="7" spans="1:26">
      <c r="A7" s="3">
        <v>0.2</v>
      </c>
      <c r="B7" s="12">
        <v>0.8</v>
      </c>
      <c r="C7" s="12">
        <v>1</v>
      </c>
      <c r="D7" s="21">
        <f t="shared" si="1"/>
        <v>-3.5798590036077078</v>
      </c>
      <c r="E7" s="21">
        <f t="shared" si="2"/>
        <v>3.8350845578543152E-2</v>
      </c>
      <c r="F7" s="21">
        <f t="shared" si="3"/>
        <v>1.7288859930531155</v>
      </c>
      <c r="G7" s="21">
        <f t="shared" si="4"/>
        <v>0.82577825458226106</v>
      </c>
      <c r="H7" s="21">
        <f t="shared" si="5"/>
        <v>2.2558523584877806E-2</v>
      </c>
      <c r="I7" s="21">
        <f t="shared" si="6"/>
        <v>2.2558523584877807E-3</v>
      </c>
      <c r="J7" s="21">
        <f t="shared" si="7"/>
        <v>8.6513845448357241E-5</v>
      </c>
      <c r="K7" s="21">
        <f t="shared" si="8"/>
        <v>-9.7773851023667557</v>
      </c>
      <c r="L7" s="21">
        <f t="shared" si="9"/>
        <v>-0.32453147865037552</v>
      </c>
      <c r="M7" s="21">
        <f t="shared" si="10"/>
        <v>-3.245314786503755E-2</v>
      </c>
      <c r="N7" s="21">
        <f t="shared" si="11"/>
        <v>-6.4906295730075107E-3</v>
      </c>
      <c r="O7" s="21">
        <f t="shared" si="12"/>
        <v>-2.5962518292030043E-2</v>
      </c>
      <c r="P7" s="21">
        <f t="shared" si="13"/>
        <v>-11.760440954917298</v>
      </c>
      <c r="Q7" s="21">
        <f t="shared" si="14"/>
        <v>6.3760744466826536</v>
      </c>
      <c r="R7" s="21">
        <f t="shared" si="15"/>
        <v>8.5635572169497465</v>
      </c>
      <c r="S7" s="21">
        <f t="shared" si="16"/>
        <v>2.1069779700889026</v>
      </c>
      <c r="T7" s="21">
        <f t="shared" si="17"/>
        <v>-9.7998571121061868</v>
      </c>
      <c r="U7" s="21">
        <f t="shared" si="0"/>
        <v>3.0353216576403438E-2</v>
      </c>
    </row>
    <row r="8" spans="1:26">
      <c r="A8" s="3">
        <v>0.6</v>
      </c>
      <c r="B8" s="12">
        <v>0.9</v>
      </c>
      <c r="C8" s="12">
        <v>0</v>
      </c>
      <c r="D8" s="21">
        <f t="shared" si="1"/>
        <v>-0.22759479165293417</v>
      </c>
      <c r="E8" s="21">
        <f t="shared" si="2"/>
        <v>0.44896947336308729</v>
      </c>
      <c r="F8" s="21">
        <f t="shared" si="3"/>
        <v>-2.2928587165669172</v>
      </c>
      <c r="G8" s="21">
        <f t="shared" si="4"/>
        <v>0.11268808849176448</v>
      </c>
      <c r="H8" s="21">
        <f t="shared" si="5"/>
        <v>-1.0140861358367779E-2</v>
      </c>
      <c r="I8" s="21">
        <f t="shared" si="6"/>
        <v>-1.014086135836778E-3</v>
      </c>
      <c r="J8" s="21">
        <f t="shared" si="7"/>
        <v>-4.5529371835144642E-4</v>
      </c>
      <c r="K8" s="21">
        <f t="shared" si="8"/>
        <v>-9.8099979734645544</v>
      </c>
      <c r="L8" s="21">
        <f t="shared" si="9"/>
        <v>-2.184257820544508</v>
      </c>
      <c r="M8" s="21">
        <f t="shared" si="10"/>
        <v>-0.21842578205445082</v>
      </c>
      <c r="N8" s="21">
        <f t="shared" si="11"/>
        <v>-0.13105546923267047</v>
      </c>
      <c r="O8" s="21">
        <f t="shared" si="12"/>
        <v>-0.19658320384900574</v>
      </c>
      <c r="P8" s="21">
        <f t="shared" si="13"/>
        <v>-11.978866736971749</v>
      </c>
      <c r="Q8" s="21">
        <f t="shared" si="14"/>
        <v>6.2450189774499831</v>
      </c>
      <c r="R8" s="21">
        <f t="shared" si="15"/>
        <v>8.3669740131007408</v>
      </c>
      <c r="S8" s="21">
        <f t="shared" si="16"/>
        <v>2.1059638839530659</v>
      </c>
      <c r="T8" s="21">
        <f t="shared" si="17"/>
        <v>-9.8003124058245383</v>
      </c>
      <c r="U8" s="21">
        <f t="shared" si="0"/>
        <v>1.2698605287927742E-2</v>
      </c>
    </row>
    <row r="9" spans="1:26">
      <c r="A9" s="3">
        <v>1</v>
      </c>
      <c r="B9" s="12">
        <v>1</v>
      </c>
      <c r="C9" s="12">
        <v>0</v>
      </c>
      <c r="D9" s="21">
        <f t="shared" si="1"/>
        <v>2.6331262535789746</v>
      </c>
      <c r="E9" s="21">
        <f t="shared" si="2"/>
        <v>0.91449628875471989</v>
      </c>
      <c r="F9" s="21">
        <f t="shared" si="3"/>
        <v>-6.8563854398103139</v>
      </c>
      <c r="G9" s="21">
        <f t="shared" si="4"/>
        <v>2.0853170141266874E-3</v>
      </c>
      <c r="H9" s="21">
        <f t="shared" si="5"/>
        <v>-3.9055310552316472E-6</v>
      </c>
      <c r="I9" s="21">
        <f t="shared" si="6"/>
        <v>-3.9055310552316477E-7</v>
      </c>
      <c r="J9" s="21">
        <f t="shared" si="7"/>
        <v>-3.5715936556256469E-7</v>
      </c>
      <c r="K9" s="21">
        <f t="shared" si="8"/>
        <v>-9.8003163113555942</v>
      </c>
      <c r="L9" s="21">
        <f t="shared" si="9"/>
        <v>-0.68968299063861749</v>
      </c>
      <c r="M9" s="21">
        <f t="shared" si="10"/>
        <v>-6.8968299063861746E-2</v>
      </c>
      <c r="N9" s="21">
        <f t="shared" si="11"/>
        <v>-6.8968299063861746E-2</v>
      </c>
      <c r="O9" s="21">
        <f t="shared" si="12"/>
        <v>-6.8968299063861746E-2</v>
      </c>
      <c r="P9" s="21">
        <f t="shared" si="13"/>
        <v>-12.047835036035611</v>
      </c>
      <c r="Q9" s="21">
        <f t="shared" si="14"/>
        <v>6.1760506783861215</v>
      </c>
      <c r="R9" s="21">
        <f t="shared" si="15"/>
        <v>8.2980057140368793</v>
      </c>
      <c r="S9" s="21">
        <f t="shared" si="16"/>
        <v>2.1059634933999605</v>
      </c>
      <c r="T9" s="21">
        <f t="shared" si="17"/>
        <v>-9.8003127629839035</v>
      </c>
      <c r="U9" s="21">
        <f t="shared" si="0"/>
        <v>4.3485470494062428E-6</v>
      </c>
      <c r="W9">
        <f>(((C4-G4)^2 + (C5-G5)^2 + (C6-G6)^2 + (C7-G7)^2 + (C8-G8)^2 + (C9-G9)^2 + (C10-G10)^2 + (C11-G11)^2 + (C12-G12)^2 + (C13-G13)^2)/10)</f>
        <v>9.0769933410165565E-2</v>
      </c>
    </row>
    <row r="10" spans="1:26">
      <c r="A10" s="3">
        <v>0.3</v>
      </c>
      <c r="B10" s="12">
        <v>1.2</v>
      </c>
      <c r="C10" s="12">
        <v>0</v>
      </c>
      <c r="D10" s="21">
        <f t="shared" si="1"/>
        <v>-0.23741297567551989</v>
      </c>
      <c r="E10" s="21">
        <f t="shared" si="2"/>
        <v>0.44678439239128886</v>
      </c>
      <c r="F10" s="21">
        <f t="shared" si="3"/>
        <v>-2.2726632896543966</v>
      </c>
      <c r="G10" s="21">
        <f t="shared" si="4"/>
        <v>0.11451831972092769</v>
      </c>
      <c r="H10" s="21">
        <f t="shared" si="5"/>
        <v>-1.045134115474663E-2</v>
      </c>
      <c r="I10" s="21">
        <f t="shared" si="6"/>
        <v>-1.0451341154746631E-3</v>
      </c>
      <c r="J10" s="21">
        <f t="shared" si="7"/>
        <v>-4.6694961074975451E-4</v>
      </c>
      <c r="K10" s="21">
        <f t="shared" si="8"/>
        <v>-9.8107641041386504</v>
      </c>
      <c r="L10" s="21">
        <f t="shared" si="9"/>
        <v>-2.1824171229649756</v>
      </c>
      <c r="M10" s="21">
        <f t="shared" si="10"/>
        <v>-0.21824171229649758</v>
      </c>
      <c r="N10" s="21">
        <f t="shared" si="11"/>
        <v>-6.5472513688949269E-2</v>
      </c>
      <c r="O10" s="21">
        <f t="shared" si="12"/>
        <v>-0.26189005475579707</v>
      </c>
      <c r="P10" s="21">
        <f t="shared" si="13"/>
        <v>-12.266076748332109</v>
      </c>
      <c r="Q10" s="21">
        <f t="shared" si="14"/>
        <v>6.1105781646971726</v>
      </c>
      <c r="R10" s="21">
        <f t="shared" si="15"/>
        <v>8.0361156592810818</v>
      </c>
      <c r="S10" s="21">
        <f t="shared" si="16"/>
        <v>2.1049183592844858</v>
      </c>
      <c r="T10" s="21">
        <f t="shared" si="17"/>
        <v>-9.8007797125946539</v>
      </c>
      <c r="U10" s="21">
        <f t="shared" si="0"/>
        <v>1.3114445551704615E-2</v>
      </c>
    </row>
    <row r="11" spans="1:26">
      <c r="A11" s="3">
        <v>-0.1</v>
      </c>
      <c r="B11" s="12">
        <v>-0.1</v>
      </c>
      <c r="C11" s="12">
        <v>1</v>
      </c>
      <c r="D11" s="21">
        <f t="shared" si="1"/>
        <v>-13.680746130729935</v>
      </c>
      <c r="E11" s="21">
        <f t="shared" si="2"/>
        <v>4.4944106450832575E-6</v>
      </c>
      <c r="F11" s="21">
        <f t="shared" si="3"/>
        <v>2.1048743105558154</v>
      </c>
      <c r="G11" s="21">
        <f t="shared" si="4"/>
        <v>0.86925491110687614</v>
      </c>
      <c r="H11" s="21">
        <f t="shared" si="5"/>
        <v>1.3373356803965054E-2</v>
      </c>
      <c r="I11" s="21">
        <f t="shared" si="6"/>
        <v>1.3373356803965055E-3</v>
      </c>
      <c r="J11" s="21">
        <f t="shared" si="7"/>
        <v>6.0105357180237156E-9</v>
      </c>
      <c r="K11" s="21">
        <f t="shared" si="8"/>
        <v>-9.7874063557906883</v>
      </c>
      <c r="L11" s="21">
        <f t="shared" si="9"/>
        <v>-3.9589583049255885E-5</v>
      </c>
      <c r="M11" s="21">
        <f t="shared" si="10"/>
        <v>-3.9589583049255885E-6</v>
      </c>
      <c r="N11" s="21">
        <f t="shared" si="11"/>
        <v>3.9589583049255888E-7</v>
      </c>
      <c r="O11" s="21">
        <f t="shared" si="12"/>
        <v>3.9589583049255888E-7</v>
      </c>
      <c r="P11" s="21">
        <f t="shared" si="13"/>
        <v>-12.266080707290413</v>
      </c>
      <c r="Q11" s="21">
        <f t="shared" si="14"/>
        <v>6.1105785605930034</v>
      </c>
      <c r="R11" s="21">
        <f t="shared" si="15"/>
        <v>8.0361160551769117</v>
      </c>
      <c r="S11" s="21">
        <f t="shared" si="16"/>
        <v>2.1062556949648821</v>
      </c>
      <c r="T11" s="21">
        <f t="shared" si="17"/>
        <v>-9.8007797065841178</v>
      </c>
      <c r="U11" s="21">
        <f t="shared" si="0"/>
        <v>1.709427826967086E-2</v>
      </c>
      <c r="V11" s="13" t="s">
        <v>45</v>
      </c>
      <c r="W11">
        <f>AVERAGE(U4:U13)</f>
        <v>9.0769933410165565E-2</v>
      </c>
    </row>
    <row r="12" spans="1:26">
      <c r="A12" s="3">
        <v>-0.5</v>
      </c>
      <c r="B12" s="12">
        <v>-0.5</v>
      </c>
      <c r="C12" s="12">
        <v>1</v>
      </c>
      <c r="D12" s="21">
        <f t="shared" si="1"/>
        <v>-19.339428015175372</v>
      </c>
      <c r="E12" s="21">
        <f t="shared" si="2"/>
        <v>2.7599029130950007E-8</v>
      </c>
      <c r="F12" s="21">
        <f t="shared" si="3"/>
        <v>2.1062554244728773</v>
      </c>
      <c r="G12" s="21">
        <f t="shared" si="4"/>
        <v>0.8693961145230894</v>
      </c>
      <c r="H12" s="21">
        <f t="shared" si="5"/>
        <v>1.334665391712486E-2</v>
      </c>
      <c r="I12" s="21">
        <f t="shared" si="6"/>
        <v>1.3346653917124861E-3</v>
      </c>
      <c r="J12" s="21">
        <f t="shared" si="7"/>
        <v>3.6835469025943706E-11</v>
      </c>
      <c r="K12" s="21">
        <f t="shared" si="8"/>
        <v>-9.7874330526669926</v>
      </c>
      <c r="L12" s="21">
        <f t="shared" si="9"/>
        <v>-2.4311127823436596E-7</v>
      </c>
      <c r="M12" s="21">
        <f t="shared" si="10"/>
        <v>-2.4311127823436597E-8</v>
      </c>
      <c r="N12" s="21">
        <f t="shared" si="11"/>
        <v>1.2155563911718299E-8</v>
      </c>
      <c r="O12" s="21">
        <f t="shared" si="12"/>
        <v>1.2155563911718299E-8</v>
      </c>
      <c r="P12" s="21">
        <f t="shared" si="13"/>
        <v>-12.266080731601541</v>
      </c>
      <c r="Q12" s="21">
        <f t="shared" si="14"/>
        <v>6.1105785727485671</v>
      </c>
      <c r="R12" s="21">
        <f t="shared" si="15"/>
        <v>8.0361160673324754</v>
      </c>
      <c r="S12" s="21">
        <f t="shared" si="16"/>
        <v>2.1075903603565944</v>
      </c>
      <c r="T12" s="21">
        <f t="shared" si="17"/>
        <v>-9.8007797065472815</v>
      </c>
      <c r="U12" s="21">
        <f t="shared" si="0"/>
        <v>1.7057374901665978E-2</v>
      </c>
    </row>
    <row r="13" spans="1:26">
      <c r="A13" s="3">
        <v>-1</v>
      </c>
      <c r="B13" s="12">
        <v>-1</v>
      </c>
      <c r="C13" s="12">
        <v>0</v>
      </c>
      <c r="D13" s="21">
        <f t="shared" si="1"/>
        <v>-26.412775371682581</v>
      </c>
      <c r="E13" s="21">
        <f t="shared" si="2"/>
        <v>4.7442729144070181E-11</v>
      </c>
      <c r="F13" s="21">
        <f t="shared" si="3"/>
        <v>2.1075903598916188</v>
      </c>
      <c r="G13" s="21">
        <f t="shared" si="4"/>
        <v>0.86953247352225471</v>
      </c>
      <c r="H13" s="21">
        <f t="shared" si="5"/>
        <v>-8.8780288039658942E-2</v>
      </c>
      <c r="I13" s="21">
        <f t="shared" si="6"/>
        <v>-8.8780288039658952E-3</v>
      </c>
      <c r="J13" s="21">
        <f t="shared" si="7"/>
        <v>-4.2119791587980729E-13</v>
      </c>
      <c r="K13" s="21">
        <f t="shared" si="8"/>
        <v>-9.889559994586941</v>
      </c>
      <c r="L13" s="21">
        <f t="shared" si="9"/>
        <v>-4.2226894453946475E-10</v>
      </c>
      <c r="M13" s="21">
        <f t="shared" si="10"/>
        <v>-4.222689445394648E-11</v>
      </c>
      <c r="N13" s="21">
        <f t="shared" si="11"/>
        <v>4.222689445394648E-11</v>
      </c>
      <c r="O13" s="21">
        <f t="shared" si="12"/>
        <v>4.222689445394648E-11</v>
      </c>
      <c r="P13" s="21">
        <f t="shared" si="13"/>
        <v>-12.266080731643768</v>
      </c>
      <c r="Q13" s="21">
        <f t="shared" si="14"/>
        <v>6.1105785727907937</v>
      </c>
      <c r="R13" s="21">
        <f t="shared" si="15"/>
        <v>8.036116067374703</v>
      </c>
      <c r="S13" s="21">
        <f t="shared" si="16"/>
        <v>2.0987123315526284</v>
      </c>
      <c r="T13" s="21">
        <f t="shared" si="17"/>
        <v>-9.8007797065477025</v>
      </c>
      <c r="U13" s="21">
        <f t="shared" si="0"/>
        <v>0.75608672250973064</v>
      </c>
    </row>
    <row r="14" spans="1:26">
      <c r="A14" s="18"/>
    </row>
    <row r="15" spans="1:26">
      <c r="A15" s="25" t="s">
        <v>34</v>
      </c>
      <c r="B15" s="26">
        <v>0.9</v>
      </c>
    </row>
    <row r="16" spans="1:26">
      <c r="A16" s="27" t="s">
        <v>33</v>
      </c>
      <c r="B16" s="28">
        <v>0.1</v>
      </c>
    </row>
    <row r="18" spans="1:26">
      <c r="A18" s="29" t="s">
        <v>0</v>
      </c>
      <c r="B18" s="29"/>
      <c r="C18" s="29"/>
      <c r="D18" s="29" t="s">
        <v>1</v>
      </c>
      <c r="E18" s="29"/>
      <c r="F18" s="30" t="s">
        <v>2</v>
      </c>
      <c r="G18" s="30"/>
      <c r="H18" s="29" t="s">
        <v>7</v>
      </c>
      <c r="I18" s="29"/>
      <c r="J18" s="29"/>
      <c r="K18" s="29" t="s">
        <v>11</v>
      </c>
      <c r="L18" s="29"/>
      <c r="M18" s="29"/>
      <c r="N18" s="29"/>
      <c r="O18" s="29"/>
      <c r="P18" s="29" t="s">
        <v>17</v>
      </c>
      <c r="Q18" s="29"/>
      <c r="R18" s="29"/>
      <c r="S18" s="29"/>
      <c r="T18" s="29"/>
      <c r="U18" s="4" t="s">
        <v>23</v>
      </c>
    </row>
    <row r="19" spans="1:26">
      <c r="A19" s="2" t="s">
        <v>25</v>
      </c>
      <c r="B19" s="2" t="s">
        <v>26</v>
      </c>
      <c r="C19" s="2" t="s">
        <v>27</v>
      </c>
      <c r="D19" s="2" t="s">
        <v>3</v>
      </c>
      <c r="E19" s="2" t="s">
        <v>4</v>
      </c>
      <c r="F19" s="2" t="s">
        <v>5</v>
      </c>
      <c r="G19" s="2" t="s">
        <v>6</v>
      </c>
      <c r="H19" s="2" t="s">
        <v>8</v>
      </c>
      <c r="I19" s="2" t="s">
        <v>9</v>
      </c>
      <c r="J19" s="2" t="s">
        <v>10</v>
      </c>
      <c r="K19" s="2" t="s">
        <v>12</v>
      </c>
      <c r="L19" s="2" t="s">
        <v>13</v>
      </c>
      <c r="M19" s="2" t="s">
        <v>14</v>
      </c>
      <c r="N19" s="2" t="s">
        <v>15</v>
      </c>
      <c r="O19" s="2" t="s">
        <v>16</v>
      </c>
      <c r="P19" s="2" t="s">
        <v>18</v>
      </c>
      <c r="Q19" s="2" t="s">
        <v>19</v>
      </c>
      <c r="R19" s="2" t="s">
        <v>20</v>
      </c>
      <c r="S19" s="2" t="s">
        <v>21</v>
      </c>
      <c r="T19" s="2" t="s">
        <v>22</v>
      </c>
      <c r="U19" s="2" t="s">
        <v>24</v>
      </c>
    </row>
    <row r="20" spans="1:26">
      <c r="A20" s="5"/>
      <c r="B20" s="5"/>
      <c r="C20" s="5"/>
      <c r="D20" s="6"/>
      <c r="E20" s="6"/>
      <c r="F20" s="6"/>
      <c r="G20" s="6"/>
      <c r="H20" s="6"/>
      <c r="I20" s="6"/>
      <c r="J20" s="6"/>
      <c r="K20" s="6"/>
      <c r="L20" s="6"/>
      <c r="M20" s="6"/>
      <c r="N20" s="6"/>
      <c r="O20" s="6"/>
      <c r="P20" s="23">
        <f>P13</f>
        <v>-12.266080731643768</v>
      </c>
      <c r="Q20" s="22">
        <f>Q13</f>
        <v>6.1105785727907937</v>
      </c>
      <c r="R20" s="22">
        <f>R13</f>
        <v>8.036116067374703</v>
      </c>
      <c r="S20" s="22">
        <f>S13</f>
        <v>2.0987123315526284</v>
      </c>
      <c r="T20" s="22">
        <f>T13</f>
        <v>-9.8007797065477025</v>
      </c>
      <c r="U20" s="1"/>
      <c r="W20" s="31" t="s">
        <v>35</v>
      </c>
      <c r="X20" s="32"/>
      <c r="Y20" s="32"/>
      <c r="Z20" s="32"/>
    </row>
    <row r="21" spans="1:26">
      <c r="A21" s="3">
        <v>0.1</v>
      </c>
      <c r="B21" s="12">
        <v>0.1</v>
      </c>
      <c r="C21" s="12">
        <v>1</v>
      </c>
      <c r="D21" s="21">
        <f>P20+(Q20*A21)+(R20*B21)</f>
        <v>-10.851411267627219</v>
      </c>
      <c r="E21" s="21">
        <f>1/(1+EXP(-$B$15*D21))</f>
        <v>5.735058619418351E-5</v>
      </c>
      <c r="F21" s="21">
        <f>S20+(T20*E21)</f>
        <v>2.0981502510912979</v>
      </c>
      <c r="G21" s="21">
        <f>1/(1+EXP(-$B$15*F21))</f>
        <v>0.86856559754062124</v>
      </c>
      <c r="H21" s="21">
        <f>(C21-G21)*$B$15*G21*(1-G21)</f>
        <v>1.3504025308323073E-2</v>
      </c>
      <c r="I21" s="21">
        <f>$B$16*H21</f>
        <v>1.3504025308323075E-3</v>
      </c>
      <c r="J21" s="21">
        <f>$B$16*H21*E21</f>
        <v>7.7446376741341809E-8</v>
      </c>
      <c r="K21" s="21">
        <f>H21+T20</f>
        <v>-9.7872756812393789</v>
      </c>
      <c r="L21" s="21">
        <f>K21*$B$15*E21*(1-E21)</f>
        <v>-5.0514642570164455E-4</v>
      </c>
      <c r="M21" s="21">
        <f>$B$16*L21</f>
        <v>-5.0514642570164461E-5</v>
      </c>
      <c r="N21" s="21">
        <f>$B$16*L21*A21</f>
        <v>-5.0514642570164461E-6</v>
      </c>
      <c r="O21" s="21">
        <f>$B$16*L21*B21</f>
        <v>-5.0514642570164461E-6</v>
      </c>
      <c r="P21" s="21">
        <f>P20+M21</f>
        <v>-12.266131246286339</v>
      </c>
      <c r="Q21" s="21">
        <f>Q20+N21</f>
        <v>6.1105735213265371</v>
      </c>
      <c r="R21" s="21">
        <f>R20+O21</f>
        <v>8.0361110159104463</v>
      </c>
      <c r="S21" s="21">
        <f>S20+I21</f>
        <v>2.1000627340834606</v>
      </c>
      <c r="T21" s="21">
        <f>T20+J21</f>
        <v>-9.8007796291013261</v>
      </c>
      <c r="U21" s="1"/>
      <c r="W21" s="32"/>
      <c r="X21" s="32"/>
      <c r="Y21" s="32"/>
      <c r="Z21" s="32"/>
    </row>
    <row r="22" spans="1:26">
      <c r="A22" s="3">
        <v>0.5</v>
      </c>
      <c r="B22" s="12">
        <v>0.5</v>
      </c>
      <c r="C22" s="12">
        <v>1</v>
      </c>
      <c r="D22" s="21">
        <f t="shared" ref="D22:D30" si="18">P21+(Q21*A22)+(R21*B22)</f>
        <v>-5.1927889776678473</v>
      </c>
      <c r="E22" s="21">
        <f t="shared" ref="E22:E30" si="19">1/(1+EXP(-$B$15*D22))</f>
        <v>9.2530119257532694E-3</v>
      </c>
      <c r="F22" s="21">
        <f t="shared" ref="F22:F30" si="20">S21+(T21*E22)</f>
        <v>2.0093760032937062</v>
      </c>
      <c r="G22" s="21">
        <f t="shared" ref="G22:G30" si="21">1/(1+EXP(-$B$15*F22))</f>
        <v>0.85917303520804522</v>
      </c>
      <c r="H22" s="21">
        <f t="shared" ref="H22:H30" si="22">(C22-G22)*$B$15*G22*(1-G22)</f>
        <v>1.533538862233946E-2</v>
      </c>
      <c r="I22" s="21">
        <f t="shared" ref="I22:I30" si="23">$B$16*H22</f>
        <v>1.533538862233946E-3</v>
      </c>
      <c r="J22" s="21">
        <f t="shared" ref="J22:J30" si="24">$B$16*H22*E22</f>
        <v>1.4189853380856802E-5</v>
      </c>
      <c r="K22" s="21">
        <f t="shared" ref="K22:K30" si="25">H22+T21</f>
        <v>-9.7854442404789861</v>
      </c>
      <c r="L22" s="21">
        <f t="shared" ref="L22:L30" si="26">K22*$B$15*E22*(1-E22)</f>
        <v>-8.0736317858939491E-2</v>
      </c>
      <c r="M22" s="21">
        <f t="shared" ref="M22:M30" si="27">$B$16*L22</f>
        <v>-8.0736317858939501E-3</v>
      </c>
      <c r="N22" s="21">
        <f t="shared" ref="N22:N30" si="28">$B$16*L22*A22</f>
        <v>-4.0368158929469751E-3</v>
      </c>
      <c r="O22" s="21">
        <f t="shared" ref="O22:O30" si="29">$B$16*L22*B22</f>
        <v>-4.0368158929469751E-3</v>
      </c>
      <c r="P22" s="21">
        <f t="shared" ref="P22:P30" si="30">P21+M22</f>
        <v>-12.274204878072233</v>
      </c>
      <c r="Q22" s="21">
        <f t="shared" ref="Q22:Q30" si="31">Q21+N22</f>
        <v>6.10653670543359</v>
      </c>
      <c r="R22" s="21">
        <f t="shared" ref="R22:R30" si="32">R21+O22</f>
        <v>8.0320742000174992</v>
      </c>
      <c r="S22" s="21">
        <f t="shared" ref="S22:S30" si="33">S21+I22</f>
        <v>2.1015962729456943</v>
      </c>
      <c r="T22" s="21">
        <f t="shared" ref="T22:T30" si="34">T21+J22</f>
        <v>-9.8007654392479449</v>
      </c>
      <c r="U22" s="1"/>
      <c r="W22" s="32"/>
      <c r="X22" s="32"/>
      <c r="Y22" s="32"/>
      <c r="Z22" s="32"/>
    </row>
    <row r="23" spans="1:26">
      <c r="A23" s="3">
        <v>0.9</v>
      </c>
      <c r="B23" s="12">
        <v>0.1</v>
      </c>
      <c r="C23" s="12">
        <v>1</v>
      </c>
      <c r="D23" s="21">
        <f t="shared" si="18"/>
        <v>-5.9751144231802513</v>
      </c>
      <c r="E23" s="21">
        <f t="shared" si="19"/>
        <v>4.5976442474560814E-3</v>
      </c>
      <c r="F23" s="21">
        <f t="shared" si="20"/>
        <v>2.0565358401032694</v>
      </c>
      <c r="G23" s="21">
        <f t="shared" si="21"/>
        <v>0.86423065668689003</v>
      </c>
      <c r="H23" s="21">
        <f t="shared" si="22"/>
        <v>1.4337572010807462E-2</v>
      </c>
      <c r="I23" s="21">
        <f t="shared" si="23"/>
        <v>1.4337572010807464E-3</v>
      </c>
      <c r="J23" s="21">
        <f t="shared" si="24"/>
        <v>6.5919055477976258E-6</v>
      </c>
      <c r="K23" s="21">
        <f t="shared" si="25"/>
        <v>-9.786427867237137</v>
      </c>
      <c r="L23" s="21">
        <f t="shared" si="26"/>
        <v>-4.0308880517520365E-2</v>
      </c>
      <c r="M23" s="21">
        <f t="shared" si="27"/>
        <v>-4.0308880517520365E-3</v>
      </c>
      <c r="N23" s="21">
        <f t="shared" si="28"/>
        <v>-3.6277992465768329E-3</v>
      </c>
      <c r="O23" s="21">
        <f t="shared" si="29"/>
        <v>-4.0308880517520365E-4</v>
      </c>
      <c r="P23" s="21">
        <f t="shared" si="30"/>
        <v>-12.278235766123984</v>
      </c>
      <c r="Q23" s="21">
        <f t="shared" si="31"/>
        <v>6.1029089061870128</v>
      </c>
      <c r="R23" s="21">
        <f t="shared" si="32"/>
        <v>8.031671111212324</v>
      </c>
      <c r="S23" s="21">
        <f t="shared" si="33"/>
        <v>2.1030300301467753</v>
      </c>
      <c r="T23" s="21">
        <f t="shared" si="34"/>
        <v>-9.8007588473423972</v>
      </c>
      <c r="U23" s="1"/>
    </row>
    <row r="24" spans="1:26">
      <c r="A24" s="3">
        <v>0.2</v>
      </c>
      <c r="B24" s="12">
        <v>0.8</v>
      </c>
      <c r="C24" s="12">
        <v>1</v>
      </c>
      <c r="D24" s="21">
        <f t="shared" si="18"/>
        <v>-4.6323170959167221</v>
      </c>
      <c r="E24" s="21">
        <f t="shared" si="19"/>
        <v>1.5230833285982152E-2</v>
      </c>
      <c r="F24" s="21">
        <f t="shared" si="20"/>
        <v>1.9537563060667886</v>
      </c>
      <c r="G24" s="21">
        <f t="shared" si="21"/>
        <v>0.85300673521815185</v>
      </c>
      <c r="H24" s="21">
        <f t="shared" si="22"/>
        <v>1.6587840145687923E-2</v>
      </c>
      <c r="I24" s="21">
        <f t="shared" si="23"/>
        <v>1.6587840145687923E-3</v>
      </c>
      <c r="J24" s="21">
        <f t="shared" si="24"/>
        <v>2.5264662783349465E-5</v>
      </c>
      <c r="K24" s="21">
        <f t="shared" si="25"/>
        <v>-9.7841710071967096</v>
      </c>
      <c r="L24" s="21">
        <f t="shared" si="26"/>
        <v>-0.13207622603884378</v>
      </c>
      <c r="M24" s="21">
        <f t="shared" si="27"/>
        <v>-1.3207622603884379E-2</v>
      </c>
      <c r="N24" s="21">
        <f t="shared" si="28"/>
        <v>-2.6415245207768757E-3</v>
      </c>
      <c r="O24" s="21">
        <f t="shared" si="29"/>
        <v>-1.0566098083107503E-2</v>
      </c>
      <c r="P24" s="21">
        <f t="shared" si="30"/>
        <v>-12.291443388727869</v>
      </c>
      <c r="Q24" s="21">
        <f t="shared" si="31"/>
        <v>6.1002673816662361</v>
      </c>
      <c r="R24" s="21">
        <f t="shared" si="32"/>
        <v>8.0211050131292172</v>
      </c>
      <c r="S24" s="21">
        <f t="shared" si="33"/>
        <v>2.104688814161344</v>
      </c>
      <c r="T24" s="21">
        <f t="shared" si="34"/>
        <v>-9.800733582679614</v>
      </c>
      <c r="U24" s="1">
        <f>(((C21-G21)^2 + (C22-G22)^2 + (C23-G23)^2 + (C24-G24)^2 + (C25-G25)^2 + (C26-G26)^2 + (C27-G27)^2 + (C28-G28)^2 + (C29-G29)^2 + (C30-G30)^2)/4)</f>
        <v>0.34739966123617694</v>
      </c>
    </row>
    <row r="25" spans="1:26">
      <c r="A25" s="3">
        <v>0.6</v>
      </c>
      <c r="B25" s="12">
        <v>0.9</v>
      </c>
      <c r="C25" s="12">
        <v>0</v>
      </c>
      <c r="D25" s="21">
        <f t="shared" si="18"/>
        <v>-1.4122884479118314</v>
      </c>
      <c r="E25" s="21">
        <f t="shared" si="19"/>
        <v>0.21907591946605701</v>
      </c>
      <c r="F25" s="21">
        <f t="shared" si="20"/>
        <v>-4.2415906906055678E-2</v>
      </c>
      <c r="G25" s="21">
        <f t="shared" si="21"/>
        <v>0.49045757974825055</v>
      </c>
      <c r="H25" s="21">
        <f t="shared" si="22"/>
        <v>-0.11031276146091908</v>
      </c>
      <c r="I25" s="21">
        <f t="shared" si="23"/>
        <v>-1.1031276146091909E-2</v>
      </c>
      <c r="J25" s="21">
        <f t="shared" si="24"/>
        <v>-2.416686964589067E-3</v>
      </c>
      <c r="K25" s="21">
        <f t="shared" si="25"/>
        <v>-9.9110463441405336</v>
      </c>
      <c r="L25" s="21">
        <f t="shared" si="26"/>
        <v>-1.5260384435105232</v>
      </c>
      <c r="M25" s="21">
        <f t="shared" si="27"/>
        <v>-0.15260384435105234</v>
      </c>
      <c r="N25" s="21">
        <f t="shared" si="28"/>
        <v>-9.1562306610631403E-2</v>
      </c>
      <c r="O25" s="21">
        <f t="shared" si="29"/>
        <v>-0.13734345991594712</v>
      </c>
      <c r="P25" s="21">
        <f t="shared" si="30"/>
        <v>-12.444047233078921</v>
      </c>
      <c r="Q25" s="21">
        <f t="shared" si="31"/>
        <v>6.0087050750556044</v>
      </c>
      <c r="R25" s="21">
        <f t="shared" si="32"/>
        <v>7.8837615532132697</v>
      </c>
      <c r="S25" s="21">
        <f t="shared" si="33"/>
        <v>2.0936575380152522</v>
      </c>
      <c r="T25" s="21">
        <f t="shared" si="34"/>
        <v>-9.8031502696442026</v>
      </c>
      <c r="U25" s="1"/>
    </row>
    <row r="26" spans="1:26">
      <c r="A26" s="3">
        <v>1</v>
      </c>
      <c r="B26" s="12">
        <v>1</v>
      </c>
      <c r="C26" s="12">
        <v>0</v>
      </c>
      <c r="D26" s="21">
        <f t="shared" si="18"/>
        <v>1.4484193951899531</v>
      </c>
      <c r="E26" s="21">
        <f t="shared" si="19"/>
        <v>0.78643644729783502</v>
      </c>
      <c r="F26" s="21">
        <f t="shared" si="20"/>
        <v>-5.6158971323705478</v>
      </c>
      <c r="G26" s="21">
        <f t="shared" si="21"/>
        <v>6.3413162168287447E-3</v>
      </c>
      <c r="H26" s="21">
        <f t="shared" si="22"/>
        <v>-3.5961563255838031E-5</v>
      </c>
      <c r="I26" s="21">
        <f t="shared" si="23"/>
        <v>-3.5961563255838033E-6</v>
      </c>
      <c r="J26" s="21">
        <f t="shared" si="24"/>
        <v>-2.8281484046197629E-6</v>
      </c>
      <c r="K26" s="21">
        <f t="shared" si="25"/>
        <v>-9.8031862312074587</v>
      </c>
      <c r="L26" s="21">
        <f t="shared" si="26"/>
        <v>-1.4818373325480318</v>
      </c>
      <c r="M26" s="21">
        <f t="shared" si="27"/>
        <v>-0.14818373325480319</v>
      </c>
      <c r="N26" s="21">
        <f t="shared" si="28"/>
        <v>-0.14818373325480319</v>
      </c>
      <c r="O26" s="21">
        <f t="shared" si="29"/>
        <v>-0.14818373325480319</v>
      </c>
      <c r="P26" s="21">
        <f t="shared" si="30"/>
        <v>-12.592230966333725</v>
      </c>
      <c r="Q26" s="21">
        <f t="shared" si="31"/>
        <v>5.8605213418008013</v>
      </c>
      <c r="R26" s="21">
        <f t="shared" si="32"/>
        <v>7.7355778199584666</v>
      </c>
      <c r="S26" s="21">
        <f t="shared" si="33"/>
        <v>2.0936539418589266</v>
      </c>
      <c r="T26" s="21">
        <f t="shared" si="34"/>
        <v>-9.8031530977926078</v>
      </c>
      <c r="U26" s="1"/>
    </row>
    <row r="27" spans="1:26">
      <c r="A27" s="3">
        <v>0.3</v>
      </c>
      <c r="B27" s="12">
        <v>1.2</v>
      </c>
      <c r="C27" s="12">
        <v>0</v>
      </c>
      <c r="D27" s="21">
        <f t="shared" si="18"/>
        <v>-1.5513811798433252</v>
      </c>
      <c r="E27" s="21">
        <f t="shared" si="19"/>
        <v>0.19841295767447975</v>
      </c>
      <c r="F27" s="21">
        <f t="shared" si="20"/>
        <v>0.14858134119015687</v>
      </c>
      <c r="G27" s="21">
        <f t="shared" si="21"/>
        <v>0.5333810735124368</v>
      </c>
      <c r="H27" s="21">
        <f t="shared" si="22"/>
        <v>-0.11947583155022927</v>
      </c>
      <c r="I27" s="21">
        <f t="shared" si="23"/>
        <v>-1.1947583155022928E-2</v>
      </c>
      <c r="J27" s="21">
        <f t="shared" si="24"/>
        <v>-2.3705553108498913E-3</v>
      </c>
      <c r="K27" s="21">
        <f t="shared" si="25"/>
        <v>-9.9226289293428369</v>
      </c>
      <c r="L27" s="21">
        <f t="shared" si="26"/>
        <v>-1.4203323515532773</v>
      </c>
      <c r="M27" s="21">
        <f t="shared" si="27"/>
        <v>-0.14203323515532773</v>
      </c>
      <c r="N27" s="21">
        <f t="shared" si="28"/>
        <v>-4.2609970546598319E-2</v>
      </c>
      <c r="O27" s="21">
        <f t="shared" si="29"/>
        <v>-0.17043988218639328</v>
      </c>
      <c r="P27" s="21">
        <f t="shared" si="30"/>
        <v>-12.734264201489053</v>
      </c>
      <c r="Q27" s="21">
        <f t="shared" si="31"/>
        <v>5.817911371254203</v>
      </c>
      <c r="R27" s="21">
        <f t="shared" si="32"/>
        <v>7.5651379377720733</v>
      </c>
      <c r="S27" s="21">
        <f t="shared" si="33"/>
        <v>2.0817063587039035</v>
      </c>
      <c r="T27" s="21">
        <f t="shared" si="34"/>
        <v>-9.8055236531034584</v>
      </c>
      <c r="U27" s="1"/>
    </row>
    <row r="28" spans="1:26">
      <c r="A28" s="3">
        <v>-0.1</v>
      </c>
      <c r="B28" s="12">
        <v>-0.1</v>
      </c>
      <c r="C28" s="12">
        <v>1</v>
      </c>
      <c r="D28" s="21">
        <f t="shared" si="18"/>
        <v>-14.07256913239168</v>
      </c>
      <c r="E28" s="21">
        <f t="shared" si="19"/>
        <v>3.1588093859335898E-6</v>
      </c>
      <c r="F28" s="21">
        <f t="shared" si="20"/>
        <v>2.0816753849237539</v>
      </c>
      <c r="G28" s="21">
        <f t="shared" si="21"/>
        <v>0.86686364301761465</v>
      </c>
      <c r="H28" s="21">
        <f t="shared" si="22"/>
        <v>1.3828868165991744E-2</v>
      </c>
      <c r="I28" s="21">
        <f t="shared" si="23"/>
        <v>1.3828868165991744E-3</v>
      </c>
      <c r="J28" s="21">
        <f t="shared" si="24"/>
        <v>4.3682758559572944E-9</v>
      </c>
      <c r="K28" s="21">
        <f t="shared" si="25"/>
        <v>-9.7916947849374658</v>
      </c>
      <c r="L28" s="21">
        <f t="shared" si="26"/>
        <v>-2.7836999719717951E-5</v>
      </c>
      <c r="M28" s="21">
        <f t="shared" si="27"/>
        <v>-2.7836999719717951E-6</v>
      </c>
      <c r="N28" s="21">
        <f t="shared" si="28"/>
        <v>2.7836999719717954E-7</v>
      </c>
      <c r="O28" s="21">
        <f t="shared" si="29"/>
        <v>2.7836999719717954E-7</v>
      </c>
      <c r="P28" s="21">
        <f t="shared" si="30"/>
        <v>-12.734266985189025</v>
      </c>
      <c r="Q28" s="21">
        <f t="shared" si="31"/>
        <v>5.8179116496242003</v>
      </c>
      <c r="R28" s="21">
        <f t="shared" si="32"/>
        <v>7.5651382161420706</v>
      </c>
      <c r="S28" s="21">
        <f t="shared" si="33"/>
        <v>2.0830892455205028</v>
      </c>
      <c r="T28" s="21">
        <f t="shared" si="34"/>
        <v>-9.805523648735182</v>
      </c>
      <c r="U28" s="1"/>
    </row>
    <row r="29" spans="1:26">
      <c r="A29" s="3">
        <v>-0.5</v>
      </c>
      <c r="B29" s="12">
        <v>-0.5</v>
      </c>
      <c r="C29" s="12">
        <v>1</v>
      </c>
      <c r="D29" s="21">
        <f t="shared" si="18"/>
        <v>-19.425791918072161</v>
      </c>
      <c r="E29" s="21">
        <f t="shared" si="19"/>
        <v>2.5535077244686393E-8</v>
      </c>
      <c r="F29" s="21">
        <f t="shared" si="20"/>
        <v>2.0830889951356988</v>
      </c>
      <c r="G29" s="21">
        <f t="shared" si="21"/>
        <v>0.86701040613445557</v>
      </c>
      <c r="H29" s="21">
        <f t="shared" si="22"/>
        <v>1.380073253008857E-2</v>
      </c>
      <c r="I29" s="21">
        <f t="shared" si="23"/>
        <v>1.380073253008857E-3</v>
      </c>
      <c r="J29" s="21">
        <f t="shared" si="24"/>
        <v>3.5240277118906791E-11</v>
      </c>
      <c r="K29" s="21">
        <f t="shared" si="25"/>
        <v>-9.7917229162050941</v>
      </c>
      <c r="L29" s="21">
        <f t="shared" si="26"/>
        <v>-2.2502915517533966E-7</v>
      </c>
      <c r="M29" s="21">
        <f t="shared" si="27"/>
        <v>-2.2502915517533967E-8</v>
      </c>
      <c r="N29" s="21">
        <f t="shared" si="28"/>
        <v>1.1251457758766983E-8</v>
      </c>
      <c r="O29" s="21">
        <f t="shared" si="29"/>
        <v>1.1251457758766983E-8</v>
      </c>
      <c r="P29" s="21">
        <f t="shared" si="30"/>
        <v>-12.73426700769194</v>
      </c>
      <c r="Q29" s="21">
        <f t="shared" si="31"/>
        <v>5.8179116608756578</v>
      </c>
      <c r="R29" s="21">
        <f t="shared" si="32"/>
        <v>7.5651382273935281</v>
      </c>
      <c r="S29" s="21">
        <f t="shared" si="33"/>
        <v>2.0844693187735115</v>
      </c>
      <c r="T29" s="21">
        <f t="shared" si="34"/>
        <v>-9.8055236486999409</v>
      </c>
      <c r="U29" s="1"/>
    </row>
    <row r="30" spans="1:26">
      <c r="A30" s="3">
        <v>-1</v>
      </c>
      <c r="B30" s="12">
        <v>-1</v>
      </c>
      <c r="C30" s="12">
        <v>0</v>
      </c>
      <c r="D30" s="21">
        <f t="shared" si="18"/>
        <v>-26.117316895961128</v>
      </c>
      <c r="E30" s="21">
        <f t="shared" si="19"/>
        <v>6.1894783895090468E-11</v>
      </c>
      <c r="F30" s="21">
        <f t="shared" si="20"/>
        <v>2.0844693181666005</v>
      </c>
      <c r="G30" s="21">
        <f t="shared" si="21"/>
        <v>0.86715358113498153</v>
      </c>
      <c r="H30" s="21">
        <f t="shared" si="22"/>
        <v>-8.9905115854858345E-2</v>
      </c>
      <c r="I30" s="21">
        <f t="shared" si="23"/>
        <v>-8.9905115854858348E-3</v>
      </c>
      <c r="J30" s="21">
        <f t="shared" si="24"/>
        <v>-5.564657716899529E-13</v>
      </c>
      <c r="K30" s="21">
        <f t="shared" si="25"/>
        <v>-9.8954287645547989</v>
      </c>
      <c r="L30" s="21">
        <f t="shared" si="26"/>
        <v>-5.5122788240412501E-10</v>
      </c>
      <c r="M30" s="21">
        <f t="shared" si="27"/>
        <v>-5.5122788240412503E-11</v>
      </c>
      <c r="N30" s="21">
        <f t="shared" si="28"/>
        <v>5.5122788240412503E-11</v>
      </c>
      <c r="O30" s="21">
        <f t="shared" si="29"/>
        <v>5.5122788240412503E-11</v>
      </c>
      <c r="P30" s="21">
        <f t="shared" si="30"/>
        <v>-12.734267007747063</v>
      </c>
      <c r="Q30" s="21">
        <f t="shared" si="31"/>
        <v>5.8179116609307808</v>
      </c>
      <c r="R30" s="21">
        <f t="shared" si="32"/>
        <v>7.5651382274486512</v>
      </c>
      <c r="S30" s="21">
        <f t="shared" si="33"/>
        <v>2.0754788071880257</v>
      </c>
      <c r="T30" s="21">
        <f t="shared" si="34"/>
        <v>-9.8055236487004969</v>
      </c>
      <c r="U30" s="1"/>
    </row>
    <row r="32" spans="1:26">
      <c r="A32" s="20" t="s">
        <v>35</v>
      </c>
    </row>
    <row r="33" spans="1:26">
      <c r="A33" s="29" t="s">
        <v>0</v>
      </c>
      <c r="B33" s="29"/>
      <c r="C33" s="29"/>
      <c r="D33" s="29" t="s">
        <v>1</v>
      </c>
      <c r="E33" s="29"/>
      <c r="F33" s="30" t="s">
        <v>2</v>
      </c>
      <c r="G33" s="30"/>
      <c r="H33" s="29" t="s">
        <v>7</v>
      </c>
      <c r="I33" s="29"/>
      <c r="J33" s="29"/>
      <c r="K33" s="29" t="s">
        <v>11</v>
      </c>
      <c r="L33" s="29"/>
      <c r="M33" s="29"/>
      <c r="N33" s="29"/>
      <c r="O33" s="29"/>
      <c r="P33" s="29" t="s">
        <v>17</v>
      </c>
      <c r="Q33" s="29"/>
      <c r="R33" s="29"/>
      <c r="S33" s="29"/>
      <c r="T33" s="29"/>
      <c r="U33" s="4" t="s">
        <v>23</v>
      </c>
    </row>
    <row r="34" spans="1:26">
      <c r="A34" s="2" t="s">
        <v>25</v>
      </c>
      <c r="B34" s="2" t="s">
        <v>26</v>
      </c>
      <c r="C34" s="2" t="s">
        <v>27</v>
      </c>
      <c r="D34" s="2" t="s">
        <v>3</v>
      </c>
      <c r="E34" s="2" t="s">
        <v>4</v>
      </c>
      <c r="F34" s="2" t="s">
        <v>5</v>
      </c>
      <c r="G34" s="2" t="s">
        <v>6</v>
      </c>
      <c r="H34" s="2" t="s">
        <v>8</v>
      </c>
      <c r="I34" s="2" t="s">
        <v>9</v>
      </c>
      <c r="J34" s="2" t="s">
        <v>10</v>
      </c>
      <c r="K34" s="2" t="s">
        <v>12</v>
      </c>
      <c r="L34" s="2" t="s">
        <v>13</v>
      </c>
      <c r="M34" s="2" t="s">
        <v>14</v>
      </c>
      <c r="N34" s="2" t="s">
        <v>15</v>
      </c>
      <c r="O34" s="2" t="s">
        <v>16</v>
      </c>
      <c r="P34" s="2" t="s">
        <v>18</v>
      </c>
      <c r="Q34" s="2" t="s">
        <v>19</v>
      </c>
      <c r="R34" s="2" t="s">
        <v>20</v>
      </c>
      <c r="S34" s="2" t="s">
        <v>21</v>
      </c>
      <c r="T34" s="2" t="s">
        <v>22</v>
      </c>
      <c r="U34" s="2" t="s">
        <v>24</v>
      </c>
      <c r="W34" s="31" t="s">
        <v>37</v>
      </c>
      <c r="X34" s="32"/>
      <c r="Y34" s="32"/>
      <c r="Z34" s="32"/>
    </row>
    <row r="35" spans="1:26">
      <c r="A35" s="5"/>
      <c r="B35" s="5"/>
      <c r="C35" s="5"/>
      <c r="D35" s="6"/>
      <c r="E35" s="6"/>
      <c r="F35" s="6"/>
      <c r="G35" s="6"/>
      <c r="H35" s="6"/>
      <c r="I35" s="6"/>
      <c r="J35" s="6"/>
      <c r="K35" s="6"/>
      <c r="L35" s="6"/>
      <c r="M35" s="6"/>
      <c r="N35" s="6"/>
      <c r="O35" s="6"/>
      <c r="P35" s="19">
        <f>P30</f>
        <v>-12.734267007747063</v>
      </c>
      <c r="Q35" s="22">
        <f>Q30</f>
        <v>5.8179116609307808</v>
      </c>
      <c r="R35" s="22">
        <f>R30</f>
        <v>7.5651382274486512</v>
      </c>
      <c r="S35" s="22">
        <f>S30</f>
        <v>2.0754788071880257</v>
      </c>
      <c r="T35" s="22">
        <f>T30</f>
        <v>-9.8055236487004969</v>
      </c>
      <c r="U35" s="1"/>
      <c r="W35" s="32"/>
      <c r="X35" s="32"/>
      <c r="Y35" s="32"/>
      <c r="Z35" s="32"/>
    </row>
    <row r="36" spans="1:26">
      <c r="A36" s="3">
        <v>0.1</v>
      </c>
      <c r="B36" s="12">
        <v>0.1</v>
      </c>
      <c r="C36" s="12">
        <v>1</v>
      </c>
      <c r="D36" s="1">
        <f>P35+(Q35*A36)+(R35*B36)</f>
        <v>-11.39596201890912</v>
      </c>
      <c r="E36" s="1">
        <f>1/(1+EXP(-$B$15*D36))</f>
        <v>3.5131902065189255E-5</v>
      </c>
      <c r="F36" s="1">
        <f>S35+(T35*E36)</f>
        <v>2.0751343204915016</v>
      </c>
      <c r="G36" s="1">
        <f>1/(1+EXP(-$B$15*F36))</f>
        <v>0.86618275435596259</v>
      </c>
      <c r="H36" s="1">
        <f>(C36-G36)*$B$15*G36*(1-G36)</f>
        <v>1.3959704180742591E-2</v>
      </c>
      <c r="I36" s="1">
        <f>$B$16*H36</f>
        <v>1.3959704180742591E-3</v>
      </c>
      <c r="J36" s="1">
        <f>$B$16*H36*E36</f>
        <v>4.9043096013686168E-8</v>
      </c>
      <c r="K36" s="1">
        <f>H36+T35</f>
        <v>-9.7915639445197549</v>
      </c>
      <c r="L36" s="1">
        <f>K36*$B$15*E36*(1-E36)</f>
        <v>-3.0958576228871427E-4</v>
      </c>
      <c r="M36" s="1">
        <f>$B$16*L36</f>
        <v>-3.0958576228871426E-5</v>
      </c>
      <c r="N36" s="1">
        <f>$B$16*L36*A36</f>
        <v>-3.0958576228871426E-6</v>
      </c>
      <c r="O36" s="1">
        <f>$B$16*L36*B36</f>
        <v>-3.0958576228871426E-6</v>
      </c>
      <c r="P36" s="1">
        <f>P35+M36</f>
        <v>-12.734297966323291</v>
      </c>
      <c r="Q36" s="1">
        <f>Q35+N36</f>
        <v>5.8179085650731581</v>
      </c>
      <c r="R36" s="1">
        <f>R35+O36</f>
        <v>7.5651351315910285</v>
      </c>
      <c r="S36" s="1">
        <f>S35+I36</f>
        <v>2.0768747776061001</v>
      </c>
      <c r="T36" s="1">
        <f>T35+J36</f>
        <v>-9.8055235996574002</v>
      </c>
      <c r="U36" s="1"/>
      <c r="W36" s="32"/>
      <c r="X36" s="32"/>
      <c r="Y36" s="32"/>
      <c r="Z36" s="32"/>
    </row>
    <row r="37" spans="1:26">
      <c r="A37" s="3">
        <v>0.5</v>
      </c>
      <c r="B37" s="12">
        <v>0.5</v>
      </c>
      <c r="C37" s="12">
        <v>1</v>
      </c>
      <c r="D37" s="1">
        <f t="shared" ref="D37:D45" si="35">P36+(Q36*A37)+(R36*B37)</f>
        <v>-6.042776117991199</v>
      </c>
      <c r="E37" s="1">
        <f t="shared" ref="E37:E45" si="36">1/(1+EXP(-$B$15*D37))</f>
        <v>4.3271978534692159E-3</v>
      </c>
      <c r="F37" s="1">
        <f t="shared" ref="F37:F45" si="37">S36+(T36*E37)</f>
        <v>2.0344443369335208</v>
      </c>
      <c r="G37" s="1">
        <f t="shared" ref="G37:G45" si="38">1/(1+EXP(-$B$15*F37))</f>
        <v>0.86188080067154749</v>
      </c>
      <c r="H37" s="1">
        <f t="shared" ref="H37:H45" si="39">(C37-G37)*$B$15*G37*(1-G37)</f>
        <v>1.4797822718785795E-2</v>
      </c>
      <c r="I37" s="1">
        <f t="shared" ref="I37:I45" si="40">$B$16*H37</f>
        <v>1.4797822718785796E-3</v>
      </c>
      <c r="J37" s="1">
        <f t="shared" ref="J37:J45" si="41">$B$16*H37*E37</f>
        <v>6.4033106704747892E-6</v>
      </c>
      <c r="K37" s="1">
        <f t="shared" ref="K37:K45" si="42">H37+T36</f>
        <v>-9.7907257769386149</v>
      </c>
      <c r="L37" s="1">
        <f t="shared" ref="L37:L45" si="43">K37*$B$15*E37*(1-E37)</f>
        <v>-3.7964771764196617E-2</v>
      </c>
      <c r="M37" s="1">
        <f t="shared" ref="M37:M45" si="44">$B$16*L37</f>
        <v>-3.7964771764196618E-3</v>
      </c>
      <c r="N37" s="1">
        <f t="shared" ref="N37:N45" si="45">$B$16*L37*A37</f>
        <v>-1.8982385882098309E-3</v>
      </c>
      <c r="O37" s="1">
        <f t="shared" ref="O37:O45" si="46">$B$16*L37*B37</f>
        <v>-1.8982385882098309E-3</v>
      </c>
      <c r="P37" s="1">
        <f t="shared" ref="P37:P45" si="47">P36+M37</f>
        <v>-12.738094443499712</v>
      </c>
      <c r="Q37" s="1">
        <f t="shared" ref="Q37:Q45" si="48">Q36+N37</f>
        <v>5.8160103264849479</v>
      </c>
      <c r="R37" s="1">
        <f t="shared" ref="R37:R45" si="49">R36+O37</f>
        <v>7.5632368930028182</v>
      </c>
      <c r="S37" s="1">
        <f t="shared" ref="S37:S45" si="50">S36+I37</f>
        <v>2.0783545598779787</v>
      </c>
      <c r="T37" s="1">
        <f t="shared" ref="T37:T45" si="51">T36+J37</f>
        <v>-9.8055171963467291</v>
      </c>
      <c r="U37" s="1"/>
    </row>
    <row r="38" spans="1:26">
      <c r="A38" s="3">
        <v>0.9</v>
      </c>
      <c r="B38" s="12">
        <v>0.1</v>
      </c>
      <c r="C38" s="12">
        <v>1</v>
      </c>
      <c r="D38" s="1">
        <f t="shared" si="35"/>
        <v>-6.7473614603629768</v>
      </c>
      <c r="E38" s="1">
        <f t="shared" si="36"/>
        <v>2.2998122835165796E-3</v>
      </c>
      <c r="F38" s="1">
        <f t="shared" si="37"/>
        <v>2.0558037109835876</v>
      </c>
      <c r="G38" s="1">
        <f t="shared" si="38"/>
        <v>0.86415332351884377</v>
      </c>
      <c r="H38" s="1">
        <f t="shared" si="39"/>
        <v>1.435262538481964E-2</v>
      </c>
      <c r="I38" s="1">
        <f t="shared" si="40"/>
        <v>1.4352625384819642E-3</v>
      </c>
      <c r="J38" s="1">
        <f t="shared" si="41"/>
        <v>3.3008344160720089E-6</v>
      </c>
      <c r="K38" s="1">
        <f t="shared" si="42"/>
        <v>-9.7911645709619091</v>
      </c>
      <c r="L38" s="1">
        <f t="shared" si="43"/>
        <v>-2.0219448369541364E-2</v>
      </c>
      <c r="M38" s="1">
        <f t="shared" si="44"/>
        <v>-2.0219448369541365E-3</v>
      </c>
      <c r="N38" s="1">
        <f t="shared" si="45"/>
        <v>-1.819750353258723E-3</v>
      </c>
      <c r="O38" s="1">
        <f t="shared" si="46"/>
        <v>-2.0219448369541366E-4</v>
      </c>
      <c r="P38" s="1">
        <f t="shared" si="47"/>
        <v>-12.740116388336666</v>
      </c>
      <c r="Q38" s="1">
        <f t="shared" si="48"/>
        <v>5.814190576131689</v>
      </c>
      <c r="R38" s="1">
        <f t="shared" si="49"/>
        <v>7.5630346985191226</v>
      </c>
      <c r="S38" s="1">
        <f t="shared" si="50"/>
        <v>2.0797898224164606</v>
      </c>
      <c r="T38" s="1">
        <f t="shared" si="51"/>
        <v>-9.8055138955123127</v>
      </c>
      <c r="U38" s="1"/>
    </row>
    <row r="39" spans="1:26">
      <c r="A39" s="3">
        <v>0.2</v>
      </c>
      <c r="B39" s="12">
        <v>0.8</v>
      </c>
      <c r="C39" s="12">
        <v>1</v>
      </c>
      <c r="D39" s="1">
        <f t="shared" si="35"/>
        <v>-5.5268505142950302</v>
      </c>
      <c r="E39" s="1">
        <f t="shared" si="36"/>
        <v>6.8668076839869677E-3</v>
      </c>
      <c r="F39" s="1">
        <f t="shared" si="37"/>
        <v>2.0124572442533157</v>
      </c>
      <c r="G39" s="1">
        <f t="shared" si="38"/>
        <v>0.85950823365426465</v>
      </c>
      <c r="H39" s="1">
        <f t="shared" si="39"/>
        <v>1.5268426974496145E-2</v>
      </c>
      <c r="I39" s="1">
        <f t="shared" si="40"/>
        <v>1.5268426974496146E-3</v>
      </c>
      <c r="J39" s="1">
        <f t="shared" si="41"/>
        <v>1.0484535167086402E-5</v>
      </c>
      <c r="K39" s="1">
        <f t="shared" si="42"/>
        <v>-9.7902454685378171</v>
      </c>
      <c r="L39" s="1">
        <f t="shared" si="43"/>
        <v>-6.0089483609304502E-2</v>
      </c>
      <c r="M39" s="1">
        <f t="shared" si="44"/>
        <v>-6.0089483609304505E-3</v>
      </c>
      <c r="N39" s="1">
        <f t="shared" si="45"/>
        <v>-1.2017896721860902E-3</v>
      </c>
      <c r="O39" s="1">
        <f t="shared" si="46"/>
        <v>-4.8071586887443608E-3</v>
      </c>
      <c r="P39" s="1">
        <f t="shared" si="47"/>
        <v>-12.746125336697597</v>
      </c>
      <c r="Q39" s="1">
        <f t="shared" si="48"/>
        <v>5.8129887864595027</v>
      </c>
      <c r="R39" s="1">
        <f t="shared" si="49"/>
        <v>7.5582275398303782</v>
      </c>
      <c r="S39" s="1">
        <f t="shared" si="50"/>
        <v>2.0813166651139103</v>
      </c>
      <c r="T39" s="1">
        <f t="shared" si="51"/>
        <v>-9.8055034109771455</v>
      </c>
      <c r="U39" s="1">
        <f>(((C36-G36)^2 + (C37-G37)^2 + (C38-G38)^2 + (C39-G39)^2 + (C40-G40)^2 + (C41-G41)^2 + (C42-G42)^2 + (C43-G43)^2 + (C44-G44)^2 + (C45-G45)^2)/4)</f>
        <v>0.49046311434587975</v>
      </c>
    </row>
    <row r="40" spans="1:26">
      <c r="A40" s="3">
        <v>0.6</v>
      </c>
      <c r="B40" s="12">
        <v>0.9</v>
      </c>
      <c r="C40" s="12">
        <v>0</v>
      </c>
      <c r="D40" s="1">
        <f t="shared" si="35"/>
        <v>-2.4559272789745563</v>
      </c>
      <c r="E40" s="1">
        <f t="shared" si="36"/>
        <v>9.8826274179970461E-2</v>
      </c>
      <c r="F40" s="1">
        <f t="shared" si="37"/>
        <v>1.1122752965480474</v>
      </c>
      <c r="G40" s="1">
        <f t="shared" si="38"/>
        <v>0.73126453222518562</v>
      </c>
      <c r="H40" s="1">
        <f t="shared" si="39"/>
        <v>-0.12933513404878155</v>
      </c>
      <c r="I40" s="1">
        <f t="shared" si="40"/>
        <v>-1.2933513404878156E-2</v>
      </c>
      <c r="J40" s="1">
        <f t="shared" si="41"/>
        <v>-1.2781709418608119E-3</v>
      </c>
      <c r="K40" s="1">
        <f t="shared" si="42"/>
        <v>-9.9348385450259276</v>
      </c>
      <c r="L40" s="1">
        <f t="shared" si="43"/>
        <v>-0.79631384515501979</v>
      </c>
      <c r="M40" s="1">
        <f t="shared" si="44"/>
        <v>-7.9631384515501988E-2</v>
      </c>
      <c r="N40" s="1">
        <f t="shared" si="45"/>
        <v>-4.7778830709301189E-2</v>
      </c>
      <c r="O40" s="1">
        <f t="shared" si="46"/>
        <v>-7.1668246063951793E-2</v>
      </c>
      <c r="P40" s="1">
        <f t="shared" si="47"/>
        <v>-12.825756721213098</v>
      </c>
      <c r="Q40" s="1">
        <f t="shared" si="48"/>
        <v>5.7652099557502012</v>
      </c>
      <c r="R40" s="1">
        <f t="shared" si="49"/>
        <v>7.486559293766426</v>
      </c>
      <c r="S40" s="1">
        <f t="shared" si="50"/>
        <v>2.0683831517090323</v>
      </c>
      <c r="T40" s="1">
        <f t="shared" si="51"/>
        <v>-9.8067815819190063</v>
      </c>
      <c r="U40" s="1"/>
    </row>
    <row r="41" spans="1:26">
      <c r="A41" s="3">
        <v>1</v>
      </c>
      <c r="B41" s="12">
        <v>1</v>
      </c>
      <c r="C41" s="12">
        <v>0</v>
      </c>
      <c r="D41" s="1">
        <f t="shared" si="35"/>
        <v>0.42601252830352898</v>
      </c>
      <c r="E41" s="1">
        <f t="shared" si="36"/>
        <v>0.59469559691663254</v>
      </c>
      <c r="F41" s="1">
        <f t="shared" si="37"/>
        <v>-3.7636666749813288</v>
      </c>
      <c r="G41" s="1">
        <f t="shared" si="38"/>
        <v>3.2694737052848873E-2</v>
      </c>
      <c r="H41" s="1">
        <f t="shared" si="39"/>
        <v>-9.3059723527930669E-4</v>
      </c>
      <c r="I41" s="1">
        <f t="shared" si="40"/>
        <v>-9.3059723527930675E-5</v>
      </c>
      <c r="J41" s="1">
        <f t="shared" si="41"/>
        <v>-5.5342207832339527E-5</v>
      </c>
      <c r="K41" s="1">
        <f t="shared" si="42"/>
        <v>-9.8077121791542847</v>
      </c>
      <c r="L41" s="1">
        <f t="shared" si="43"/>
        <v>-2.1275818003478713</v>
      </c>
      <c r="M41" s="1">
        <f t="shared" si="44"/>
        <v>-0.21275818003478714</v>
      </c>
      <c r="N41" s="1">
        <f t="shared" si="45"/>
        <v>-0.21275818003478714</v>
      </c>
      <c r="O41" s="1">
        <f t="shared" si="46"/>
        <v>-0.21275818003478714</v>
      </c>
      <c r="P41" s="1">
        <f t="shared" si="47"/>
        <v>-13.038514901247886</v>
      </c>
      <c r="Q41" s="1">
        <f t="shared" si="48"/>
        <v>5.5524517757154142</v>
      </c>
      <c r="R41" s="1">
        <f t="shared" si="49"/>
        <v>7.273801113731639</v>
      </c>
      <c r="S41" s="1">
        <f t="shared" si="50"/>
        <v>2.0682900919855043</v>
      </c>
      <c r="T41" s="1">
        <f t="shared" si="51"/>
        <v>-9.8068369241268378</v>
      </c>
      <c r="U41" s="1"/>
    </row>
    <row r="42" spans="1:26">
      <c r="A42" s="3">
        <v>0.3</v>
      </c>
      <c r="B42" s="12">
        <v>1.2</v>
      </c>
      <c r="C42" s="12">
        <v>0</v>
      </c>
      <c r="D42" s="1">
        <f t="shared" si="35"/>
        <v>-2.6442180320552957</v>
      </c>
      <c r="E42" s="1">
        <f t="shared" si="36"/>
        <v>8.4726366399902331E-2</v>
      </c>
      <c r="F42" s="1">
        <f t="shared" si="37"/>
        <v>1.2373924335278428</v>
      </c>
      <c r="G42" s="1">
        <f t="shared" si="38"/>
        <v>0.75280955151906348</v>
      </c>
      <c r="H42" s="1">
        <f t="shared" si="39"/>
        <v>-0.12607948794427543</v>
      </c>
      <c r="I42" s="1">
        <f t="shared" si="40"/>
        <v>-1.2607948794427544E-2</v>
      </c>
      <c r="J42" s="1">
        <f t="shared" si="41"/>
        <v>-1.0682256891078748E-3</v>
      </c>
      <c r="K42" s="1">
        <f t="shared" si="42"/>
        <v>-9.9329164120711138</v>
      </c>
      <c r="L42" s="1">
        <f t="shared" si="43"/>
        <v>-0.69324831637749396</v>
      </c>
      <c r="M42" s="1">
        <f t="shared" si="44"/>
        <v>-6.9324831637749398E-2</v>
      </c>
      <c r="N42" s="1">
        <f t="shared" si="45"/>
        <v>-2.079744949132482E-2</v>
      </c>
      <c r="O42" s="1">
        <f t="shared" si="46"/>
        <v>-8.3189797965299281E-2</v>
      </c>
      <c r="P42" s="1">
        <f t="shared" si="47"/>
        <v>-13.107839732885635</v>
      </c>
      <c r="Q42" s="1">
        <f t="shared" si="48"/>
        <v>5.5316543262240891</v>
      </c>
      <c r="R42" s="1">
        <f t="shared" si="49"/>
        <v>7.1906113157663398</v>
      </c>
      <c r="S42" s="1">
        <f t="shared" si="50"/>
        <v>2.0556821431910768</v>
      </c>
      <c r="T42" s="1">
        <f t="shared" si="51"/>
        <v>-9.8079051498159462</v>
      </c>
      <c r="U42" s="1"/>
    </row>
    <row r="43" spans="1:26">
      <c r="A43" s="3">
        <v>-0.1</v>
      </c>
      <c r="B43" s="12">
        <v>-0.1</v>
      </c>
      <c r="C43" s="12">
        <v>1</v>
      </c>
      <c r="D43" s="1">
        <f t="shared" si="35"/>
        <v>-14.380066297084678</v>
      </c>
      <c r="E43" s="1">
        <f t="shared" si="36"/>
        <v>2.3951563137363971E-6</v>
      </c>
      <c r="F43" s="1">
        <f t="shared" si="37"/>
        <v>2.0556586517251327</v>
      </c>
      <c r="G43" s="1">
        <f t="shared" si="38"/>
        <v>0.86413799682678738</v>
      </c>
      <c r="H43" s="1">
        <f t="shared" si="39"/>
        <v>1.4355609576476427E-2</v>
      </c>
      <c r="I43" s="1">
        <f t="shared" si="40"/>
        <v>1.4355609576476428E-3</v>
      </c>
      <c r="J43" s="1">
        <f t="shared" si="41"/>
        <v>3.4383928914632201E-9</v>
      </c>
      <c r="K43" s="1">
        <f t="shared" si="42"/>
        <v>-9.7935495402394697</v>
      </c>
      <c r="L43" s="1">
        <f t="shared" si="43"/>
        <v>-2.1111323248635001E-5</v>
      </c>
      <c r="M43" s="1">
        <f t="shared" si="44"/>
        <v>-2.1111323248635001E-6</v>
      </c>
      <c r="N43" s="1">
        <f t="shared" si="45"/>
        <v>2.1111323248635003E-7</v>
      </c>
      <c r="O43" s="1">
        <f t="shared" si="46"/>
        <v>2.1111323248635003E-7</v>
      </c>
      <c r="P43" s="1">
        <f t="shared" si="47"/>
        <v>-13.10784184401796</v>
      </c>
      <c r="Q43" s="1">
        <f t="shared" si="48"/>
        <v>5.5316545373373218</v>
      </c>
      <c r="R43" s="1">
        <f t="shared" si="49"/>
        <v>7.1906115268795725</v>
      </c>
      <c r="S43" s="1">
        <f t="shared" si="50"/>
        <v>2.0571177041487245</v>
      </c>
      <c r="T43" s="1">
        <f t="shared" si="51"/>
        <v>-9.8079051463775535</v>
      </c>
      <c r="U43" s="1"/>
    </row>
    <row r="44" spans="1:26">
      <c r="A44" s="3">
        <v>-0.5</v>
      </c>
      <c r="B44" s="12">
        <v>-0.5</v>
      </c>
      <c r="C44" s="12">
        <v>1</v>
      </c>
      <c r="D44" s="1">
        <f t="shared" si="35"/>
        <v>-19.468974876126406</v>
      </c>
      <c r="E44" s="1">
        <f t="shared" si="36"/>
        <v>2.4561702572750559E-8</v>
      </c>
      <c r="F44" s="1">
        <f t="shared" si="37"/>
        <v>2.0571174632498757</v>
      </c>
      <c r="G44" s="1">
        <f t="shared" si="38"/>
        <v>0.86429206579241402</v>
      </c>
      <c r="H44" s="1">
        <f t="shared" si="39"/>
        <v>1.4325622897593258E-2</v>
      </c>
      <c r="I44" s="1">
        <f t="shared" si="40"/>
        <v>1.432562289759326E-3</v>
      </c>
      <c r="J44" s="1">
        <f t="shared" si="41"/>
        <v>3.5186168878007069E-11</v>
      </c>
      <c r="K44" s="1">
        <f t="shared" si="42"/>
        <v>-9.793579523479961</v>
      </c>
      <c r="L44" s="1">
        <f t="shared" si="43"/>
        <v>-2.1649228332304624E-7</v>
      </c>
      <c r="M44" s="1">
        <f t="shared" si="44"/>
        <v>-2.1649228332304625E-8</v>
      </c>
      <c r="N44" s="1">
        <f t="shared" si="45"/>
        <v>1.0824614166152312E-8</v>
      </c>
      <c r="O44" s="1">
        <f t="shared" si="46"/>
        <v>1.0824614166152312E-8</v>
      </c>
      <c r="P44" s="1">
        <f t="shared" si="47"/>
        <v>-13.107841865667188</v>
      </c>
      <c r="Q44" s="1">
        <f t="shared" si="48"/>
        <v>5.5316545481619359</v>
      </c>
      <c r="R44" s="1">
        <f t="shared" si="49"/>
        <v>7.1906115377041866</v>
      </c>
      <c r="S44" s="1">
        <f t="shared" si="50"/>
        <v>2.058550266438484</v>
      </c>
      <c r="T44" s="1">
        <f t="shared" si="51"/>
        <v>-9.8079051463423674</v>
      </c>
      <c r="U44" s="1"/>
    </row>
    <row r="45" spans="1:26">
      <c r="A45" s="3">
        <v>-1</v>
      </c>
      <c r="B45" s="12">
        <v>-1</v>
      </c>
      <c r="C45" s="12">
        <v>0</v>
      </c>
      <c r="D45" s="1">
        <f t="shared" si="35"/>
        <v>-25.830107951533311</v>
      </c>
      <c r="E45" s="1">
        <f t="shared" si="36"/>
        <v>8.0151930068328665E-11</v>
      </c>
      <c r="F45" s="1">
        <f t="shared" si="37"/>
        <v>2.0585502656523613</v>
      </c>
      <c r="G45" s="1">
        <f t="shared" si="38"/>
        <v>0.86444324447228604</v>
      </c>
      <c r="H45" s="1">
        <f t="shared" si="39"/>
        <v>-9.1166786019848525E-2</v>
      </c>
      <c r="I45" s="1">
        <f t="shared" si="40"/>
        <v>-9.1166786019848522E-3</v>
      </c>
      <c r="J45" s="1">
        <f t="shared" si="41"/>
        <v>-7.307193857617182E-13</v>
      </c>
      <c r="K45" s="1">
        <f t="shared" si="42"/>
        <v>-9.8990719323622152</v>
      </c>
      <c r="L45" s="1">
        <f t="shared" si="43"/>
        <v>-7.1408674908041086E-10</v>
      </c>
      <c r="M45" s="1">
        <f t="shared" si="44"/>
        <v>-7.1408674908041097E-11</v>
      </c>
      <c r="N45" s="1">
        <f t="shared" si="45"/>
        <v>7.1408674908041097E-11</v>
      </c>
      <c r="O45" s="1">
        <f t="shared" si="46"/>
        <v>7.1408674908041097E-11</v>
      </c>
      <c r="P45" s="1">
        <f t="shared" si="47"/>
        <v>-13.107841865738598</v>
      </c>
      <c r="Q45" s="1">
        <f t="shared" si="48"/>
        <v>5.5316545482333446</v>
      </c>
      <c r="R45" s="1">
        <f t="shared" si="49"/>
        <v>7.1906115377755953</v>
      </c>
      <c r="S45" s="1">
        <f t="shared" si="50"/>
        <v>2.0494335878364991</v>
      </c>
      <c r="T45" s="1">
        <f t="shared" si="51"/>
        <v>-9.8079051463430975</v>
      </c>
      <c r="U45" s="1"/>
    </row>
    <row r="48" spans="1:26">
      <c r="A48" s="29" t="s">
        <v>0</v>
      </c>
      <c r="B48" s="29"/>
      <c r="C48" s="29"/>
      <c r="D48" s="29" t="s">
        <v>1</v>
      </c>
      <c r="E48" s="29"/>
      <c r="F48" s="30" t="s">
        <v>2</v>
      </c>
      <c r="G48" s="30"/>
      <c r="H48" s="29" t="s">
        <v>7</v>
      </c>
      <c r="I48" s="29"/>
      <c r="J48" s="29"/>
      <c r="K48" s="29" t="s">
        <v>11</v>
      </c>
      <c r="L48" s="29"/>
      <c r="M48" s="29"/>
      <c r="N48" s="29"/>
      <c r="O48" s="29"/>
      <c r="P48" s="29" t="s">
        <v>17</v>
      </c>
      <c r="Q48" s="29"/>
      <c r="R48" s="29"/>
      <c r="S48" s="29"/>
      <c r="T48" s="29"/>
      <c r="U48" s="4" t="s">
        <v>23</v>
      </c>
    </row>
    <row r="49" spans="1:26">
      <c r="A49" s="2" t="s">
        <v>25</v>
      </c>
      <c r="B49" s="2" t="s">
        <v>26</v>
      </c>
      <c r="C49" s="2" t="s">
        <v>27</v>
      </c>
      <c r="D49" s="2" t="s">
        <v>3</v>
      </c>
      <c r="E49" s="2" t="s">
        <v>4</v>
      </c>
      <c r="F49" s="2" t="s">
        <v>5</v>
      </c>
      <c r="G49" s="2" t="s">
        <v>6</v>
      </c>
      <c r="H49" s="2" t="s">
        <v>8</v>
      </c>
      <c r="I49" s="2" t="s">
        <v>9</v>
      </c>
      <c r="J49" s="2" t="s">
        <v>10</v>
      </c>
      <c r="K49" s="2" t="s">
        <v>12</v>
      </c>
      <c r="L49" s="2" t="s">
        <v>13</v>
      </c>
      <c r="M49" s="2" t="s">
        <v>14</v>
      </c>
      <c r="N49" s="2" t="s">
        <v>15</v>
      </c>
      <c r="O49" s="2" t="s">
        <v>16</v>
      </c>
      <c r="P49" s="2" t="s">
        <v>18</v>
      </c>
      <c r="Q49" s="2" t="s">
        <v>19</v>
      </c>
      <c r="R49" s="2" t="s">
        <v>20</v>
      </c>
      <c r="S49" s="2" t="s">
        <v>21</v>
      </c>
      <c r="T49" s="2" t="s">
        <v>22</v>
      </c>
      <c r="U49" s="2" t="s">
        <v>24</v>
      </c>
      <c r="W49" s="31" t="s">
        <v>38</v>
      </c>
      <c r="X49" s="32"/>
      <c r="Y49" s="32"/>
      <c r="Z49" s="32"/>
    </row>
    <row r="50" spans="1:26">
      <c r="A50" s="5"/>
      <c r="B50" s="5"/>
      <c r="C50" s="5"/>
      <c r="D50" s="6"/>
      <c r="E50" s="6"/>
      <c r="F50" s="6"/>
      <c r="G50" s="6"/>
      <c r="H50" s="6"/>
      <c r="I50" s="6"/>
      <c r="J50" s="6"/>
      <c r="K50" s="6"/>
      <c r="L50" s="6"/>
      <c r="M50" s="6"/>
      <c r="N50" s="6"/>
      <c r="O50" s="6"/>
      <c r="P50" s="19">
        <f>P45</f>
        <v>-13.107841865738598</v>
      </c>
      <c r="Q50" s="22">
        <f>Q45</f>
        <v>5.5316545482333446</v>
      </c>
      <c r="R50" s="22">
        <f>R45</f>
        <v>7.1906115377755953</v>
      </c>
      <c r="S50" s="22">
        <f>S45</f>
        <v>2.0494335878364991</v>
      </c>
      <c r="T50" s="22">
        <f>T45</f>
        <v>-9.8079051463430975</v>
      </c>
      <c r="U50" s="1"/>
      <c r="W50" s="32"/>
      <c r="X50" s="32"/>
      <c r="Y50" s="32"/>
      <c r="Z50" s="32"/>
    </row>
    <row r="51" spans="1:26">
      <c r="A51" s="3">
        <v>0.1</v>
      </c>
      <c r="B51" s="12">
        <v>0.1</v>
      </c>
      <c r="C51" s="12">
        <v>1</v>
      </c>
      <c r="D51" s="1">
        <f>P50+(Q50*A51)+(R50*B51)</f>
        <v>-11.835615257137704</v>
      </c>
      <c r="E51" s="1">
        <f>1/(1+EXP(-$B$15*D51))</f>
        <v>2.3651656969137065E-5</v>
      </c>
      <c r="F51" s="1">
        <f>S50+(T50*E51)</f>
        <v>2.0492016146283918</v>
      </c>
      <c r="G51" s="1">
        <f>1/(1+EXP(-$B$15*F51))</f>
        <v>0.86345428092981835</v>
      </c>
      <c r="H51" s="1">
        <f>(C51-G51)*$B$15*G51*(1-G51)</f>
        <v>1.4488987381119594E-2</v>
      </c>
      <c r="I51" s="1">
        <f>$B$16*H51</f>
        <v>1.4488987381119595E-3</v>
      </c>
      <c r="J51" s="1">
        <f>$B$16*H51*E51</f>
        <v>3.4268855936839626E-8</v>
      </c>
      <c r="K51" s="1">
        <f>H51+T50</f>
        <v>-9.7934161589619784</v>
      </c>
      <c r="L51" s="1">
        <f>K51*$B$15*E51*(1-E51)</f>
        <v>-2.0846253699196261E-4</v>
      </c>
      <c r="M51" s="1">
        <f>$B$16*L51</f>
        <v>-2.0846253699196264E-5</v>
      </c>
      <c r="N51" s="1">
        <f>$B$16*L51*A51</f>
        <v>-2.0846253699196266E-6</v>
      </c>
      <c r="O51" s="1">
        <f>$B$16*L51*B51</f>
        <v>-2.0846253699196266E-6</v>
      </c>
      <c r="P51" s="1">
        <f>P50+M51</f>
        <v>-13.107862711992297</v>
      </c>
      <c r="Q51" s="1">
        <f>Q50+N51</f>
        <v>5.5316524636079745</v>
      </c>
      <c r="R51" s="1">
        <f>R50+O51</f>
        <v>7.1906094531502251</v>
      </c>
      <c r="S51" s="1">
        <f>S50+I51</f>
        <v>2.0508824865746109</v>
      </c>
      <c r="T51" s="1">
        <f>T50+J51</f>
        <v>-9.8079051120742413</v>
      </c>
      <c r="U51" s="1"/>
      <c r="W51" s="32"/>
      <c r="X51" s="32"/>
      <c r="Y51" s="32"/>
      <c r="Z51" s="32"/>
    </row>
    <row r="52" spans="1:26">
      <c r="A52" s="3">
        <v>0.5</v>
      </c>
      <c r="B52" s="12">
        <v>0.5</v>
      </c>
      <c r="C52" s="12">
        <v>1</v>
      </c>
      <c r="D52" s="1">
        <f t="shared" ref="D52:D60" si="52">P51+(Q51*A52)+(R51*B52)</f>
        <v>-6.7467317536131963</v>
      </c>
      <c r="E52" s="1">
        <f t="shared" ref="E52:E60" si="53">1/(1+EXP(-$B$15*D52))</f>
        <v>2.3011130394208841E-3</v>
      </c>
      <c r="F52" s="1">
        <f t="shared" ref="F52:F60" si="54">S51+(T51*E52)</f>
        <v>2.0283133882318141</v>
      </c>
      <c r="G52" s="1">
        <f t="shared" ref="G52:G60" si="55">1/(1+EXP(-$B$15*F52))</f>
        <v>0.86122263016858303</v>
      </c>
      <c r="H52" s="1">
        <f t="shared" ref="H52:H60" si="56">(C52-G52)*$B$15*G52*(1-G52)</f>
        <v>1.4927780729298505E-2</v>
      </c>
      <c r="I52" s="1">
        <f t="shared" ref="I52:I60" si="57">$B$16*H52</f>
        <v>1.4927780729298507E-3</v>
      </c>
      <c r="J52" s="1">
        <f t="shared" ref="J52:J60" si="58">$B$16*H52*E52</f>
        <v>3.4350510885804589E-6</v>
      </c>
      <c r="K52" s="1">
        <f t="shared" ref="K52:K60" si="59">H52+T51</f>
        <v>-9.7929773313449431</v>
      </c>
      <c r="L52" s="1">
        <f t="shared" ref="L52:L60" si="60">K52*$B$15*E52*(1-E52)</f>
        <v>-2.0234603546851415E-2</v>
      </c>
      <c r="M52" s="1">
        <f t="shared" ref="M52:M60" si="61">$B$16*L52</f>
        <v>-2.0234603546851414E-3</v>
      </c>
      <c r="N52" s="1">
        <f t="shared" ref="N52:N60" si="62">$B$16*L52*A52</f>
        <v>-1.0117301773425707E-3</v>
      </c>
      <c r="O52" s="1">
        <f t="shared" ref="O52:O60" si="63">$B$16*L52*B52</f>
        <v>-1.0117301773425707E-3</v>
      </c>
      <c r="P52" s="1">
        <f t="shared" ref="P52:P60" si="64">P51+M52</f>
        <v>-13.109886172346982</v>
      </c>
      <c r="Q52" s="1">
        <f t="shared" ref="Q52:Q60" si="65">Q51+N52</f>
        <v>5.5306407334306318</v>
      </c>
      <c r="R52" s="1">
        <f t="shared" ref="R52:R60" si="66">R51+O52</f>
        <v>7.1895977229728825</v>
      </c>
      <c r="S52" s="1">
        <f t="shared" ref="S52:S60" si="67">S51+I52</f>
        <v>2.0523752646475408</v>
      </c>
      <c r="T52" s="1">
        <f t="shared" ref="T52:T60" si="68">T51+J52</f>
        <v>-9.8079016770231533</v>
      </c>
      <c r="U52" s="1"/>
    </row>
    <row r="53" spans="1:26">
      <c r="A53" s="3">
        <v>0.9</v>
      </c>
      <c r="B53" s="12">
        <v>0.1</v>
      </c>
      <c r="C53" s="12">
        <v>1</v>
      </c>
      <c r="D53" s="1">
        <f t="shared" si="52"/>
        <v>-7.4133497399621264</v>
      </c>
      <c r="E53" s="1">
        <f t="shared" si="53"/>
        <v>1.2642454572400106E-3</v>
      </c>
      <c r="F53" s="1">
        <f t="shared" si="54"/>
        <v>2.0399756695073075</v>
      </c>
      <c r="G53" s="1">
        <f t="shared" si="55"/>
        <v>0.86247234999236055</v>
      </c>
      <c r="H53" s="1">
        <f t="shared" si="56"/>
        <v>1.4681408897129513E-2</v>
      </c>
      <c r="I53" s="1">
        <f t="shared" si="57"/>
        <v>1.4681408897129515E-3</v>
      </c>
      <c r="J53" s="1">
        <f t="shared" si="58"/>
        <v>1.8560904504079063E-6</v>
      </c>
      <c r="K53" s="1">
        <f t="shared" si="59"/>
        <v>-9.7932202681260243</v>
      </c>
      <c r="L53" s="1">
        <f t="shared" si="60"/>
        <v>-1.1128843412496604E-2</v>
      </c>
      <c r="M53" s="1">
        <f t="shared" si="61"/>
        <v>-1.1128843412496604E-3</v>
      </c>
      <c r="N53" s="1">
        <f t="shared" si="62"/>
        <v>-1.0015959071246945E-3</v>
      </c>
      <c r="O53" s="1">
        <f t="shared" si="63"/>
        <v>-1.1128843412496605E-4</v>
      </c>
      <c r="P53" s="1">
        <f t="shared" si="64"/>
        <v>-13.110999056688232</v>
      </c>
      <c r="Q53" s="1">
        <f t="shared" si="65"/>
        <v>5.5296391375235068</v>
      </c>
      <c r="R53" s="1">
        <f t="shared" si="66"/>
        <v>7.1894864345387575</v>
      </c>
      <c r="S53" s="1">
        <f t="shared" si="67"/>
        <v>2.0538434055372536</v>
      </c>
      <c r="T53" s="1">
        <f t="shared" si="68"/>
        <v>-9.8078998209327022</v>
      </c>
      <c r="U53" s="1"/>
    </row>
    <row r="54" spans="1:26">
      <c r="A54" s="3">
        <v>0.2</v>
      </c>
      <c r="B54" s="12">
        <v>0.8</v>
      </c>
      <c r="C54" s="12">
        <v>1</v>
      </c>
      <c r="D54" s="1">
        <f t="shared" si="52"/>
        <v>-6.2534820815525256</v>
      </c>
      <c r="E54" s="1">
        <f t="shared" si="53"/>
        <v>3.5823985955947776E-3</v>
      </c>
      <c r="F54" s="1">
        <f t="shared" si="54"/>
        <v>2.0187075989930099</v>
      </c>
      <c r="G54" s="1">
        <f t="shared" si="55"/>
        <v>0.86018613975011804</v>
      </c>
      <c r="H54" s="1">
        <f t="shared" si="56"/>
        <v>1.5133361390610367E-2</v>
      </c>
      <c r="I54" s="1">
        <f t="shared" si="57"/>
        <v>1.5133361390610367E-3</v>
      </c>
      <c r="J54" s="1">
        <f t="shared" si="58"/>
        <v>5.4213732592350804E-6</v>
      </c>
      <c r="K54" s="1">
        <f t="shared" si="59"/>
        <v>-9.7927664595420918</v>
      </c>
      <c r="L54" s="1">
        <f t="shared" si="60"/>
        <v>-3.146032490654839E-2</v>
      </c>
      <c r="M54" s="1">
        <f t="shared" si="61"/>
        <v>-3.1460324906548392E-3</v>
      </c>
      <c r="N54" s="1">
        <f t="shared" si="62"/>
        <v>-6.2920649813096789E-4</v>
      </c>
      <c r="O54" s="1">
        <f t="shared" si="63"/>
        <v>-2.5168259925238716E-3</v>
      </c>
      <c r="P54" s="1">
        <f t="shared" si="64"/>
        <v>-13.114145089178887</v>
      </c>
      <c r="Q54" s="1">
        <f t="shared" si="65"/>
        <v>5.5290099310253762</v>
      </c>
      <c r="R54" s="1">
        <f t="shared" si="66"/>
        <v>7.1869696085462333</v>
      </c>
      <c r="S54" s="1">
        <f t="shared" si="67"/>
        <v>2.0553567416763148</v>
      </c>
      <c r="T54" s="1">
        <f t="shared" si="68"/>
        <v>-9.8078943995594425</v>
      </c>
      <c r="U54" s="1">
        <f>(((C51-G51)^2 + (C52-G52)^2 + (C53-G53)^2 + (C54-G54)^2 + (C55-G55)^2 + (C56-G56)^2 + (C57-G57)^2 + (C58-G58)^2 + (C59-G59)^2 + (C60-G60)^2)/4)</f>
        <v>0.54871071441863928</v>
      </c>
    </row>
    <row r="55" spans="1:26">
      <c r="A55" s="3">
        <v>0.6</v>
      </c>
      <c r="B55" s="12">
        <v>0.9</v>
      </c>
      <c r="C55" s="12">
        <v>0</v>
      </c>
      <c r="D55" s="1">
        <f t="shared" si="52"/>
        <v>-3.3284664828720514</v>
      </c>
      <c r="E55" s="1">
        <f t="shared" si="53"/>
        <v>4.7624147151408315E-2</v>
      </c>
      <c r="F55" s="1">
        <f t="shared" si="54"/>
        <v>1.5882641355462224</v>
      </c>
      <c r="G55" s="1">
        <f t="shared" si="55"/>
        <v>0.80681369122203583</v>
      </c>
      <c r="H55" s="1">
        <f t="shared" si="56"/>
        <v>-0.11317887497752084</v>
      </c>
      <c r="I55" s="1">
        <f t="shared" si="57"/>
        <v>-1.1317887497752085E-2</v>
      </c>
      <c r="J55" s="1">
        <f t="shared" si="58"/>
        <v>-5.3900473963602977E-4</v>
      </c>
      <c r="K55" s="1">
        <f t="shared" si="59"/>
        <v>-9.9210732745369636</v>
      </c>
      <c r="L55" s="1">
        <f t="shared" si="60"/>
        <v>-0.40498296309757897</v>
      </c>
      <c r="M55" s="1">
        <f t="shared" si="61"/>
        <v>-4.0498296309757903E-2</v>
      </c>
      <c r="N55" s="1">
        <f t="shared" si="62"/>
        <v>-2.4298977785854742E-2</v>
      </c>
      <c r="O55" s="1">
        <f t="shared" si="63"/>
        <v>-3.6448466678782113E-2</v>
      </c>
      <c r="P55" s="1">
        <f t="shared" si="64"/>
        <v>-13.154643385488646</v>
      </c>
      <c r="Q55" s="1">
        <f t="shared" si="65"/>
        <v>5.5047109532395213</v>
      </c>
      <c r="R55" s="1">
        <f t="shared" si="66"/>
        <v>7.1505211418674515</v>
      </c>
      <c r="S55" s="1">
        <f t="shared" si="67"/>
        <v>2.0440388541785626</v>
      </c>
      <c r="T55" s="1">
        <f t="shared" si="68"/>
        <v>-9.8084334042990786</v>
      </c>
      <c r="U55" s="1"/>
    </row>
    <row r="56" spans="1:26">
      <c r="A56" s="3">
        <v>1</v>
      </c>
      <c r="B56" s="12">
        <v>1</v>
      </c>
      <c r="C56" s="12">
        <v>0</v>
      </c>
      <c r="D56" s="1">
        <f t="shared" si="52"/>
        <v>-0.49941129038167276</v>
      </c>
      <c r="E56" s="1">
        <f t="shared" si="53"/>
        <v>0.38948674732086053</v>
      </c>
      <c r="F56" s="1">
        <f t="shared" si="54"/>
        <v>-1.7762159687751606</v>
      </c>
      <c r="G56" s="1">
        <f t="shared" si="55"/>
        <v>0.16817816247501002</v>
      </c>
      <c r="H56" s="1">
        <f t="shared" si="56"/>
        <v>-2.1174444861147348E-2</v>
      </c>
      <c r="I56" s="1">
        <f t="shared" si="57"/>
        <v>-2.1174444861147348E-3</v>
      </c>
      <c r="J56" s="1">
        <f t="shared" si="58"/>
        <v>-8.2471656552931909E-4</v>
      </c>
      <c r="K56" s="1">
        <f t="shared" si="59"/>
        <v>-9.8296078491602259</v>
      </c>
      <c r="L56" s="1">
        <f t="shared" si="60"/>
        <v>-2.1036160817588199</v>
      </c>
      <c r="M56" s="1">
        <f t="shared" si="61"/>
        <v>-0.21036160817588201</v>
      </c>
      <c r="N56" s="1">
        <f t="shared" si="62"/>
        <v>-0.21036160817588201</v>
      </c>
      <c r="O56" s="1">
        <f t="shared" si="63"/>
        <v>-0.21036160817588201</v>
      </c>
      <c r="P56" s="1">
        <f t="shared" si="64"/>
        <v>-13.365004993664527</v>
      </c>
      <c r="Q56" s="1">
        <f t="shared" si="65"/>
        <v>5.2943493450636394</v>
      </c>
      <c r="R56" s="1">
        <f t="shared" si="66"/>
        <v>6.9401595336915696</v>
      </c>
      <c r="S56" s="1">
        <f t="shared" si="67"/>
        <v>2.0419214096924478</v>
      </c>
      <c r="T56" s="1">
        <f t="shared" si="68"/>
        <v>-9.8092581208646088</v>
      </c>
      <c r="U56" s="1"/>
    </row>
    <row r="57" spans="1:26">
      <c r="A57" s="3">
        <v>0.3</v>
      </c>
      <c r="B57" s="12">
        <v>1.2</v>
      </c>
      <c r="C57" s="12">
        <v>0</v>
      </c>
      <c r="D57" s="1">
        <f t="shared" si="52"/>
        <v>-3.4485087497155522</v>
      </c>
      <c r="E57" s="1">
        <f t="shared" si="53"/>
        <v>4.2956623106773749E-2</v>
      </c>
      <c r="F57" s="1">
        <f t="shared" si="54"/>
        <v>1.6205488056374071</v>
      </c>
      <c r="G57" s="1">
        <f t="shared" si="55"/>
        <v>0.81130221646769296</v>
      </c>
      <c r="H57" s="1">
        <f t="shared" si="56"/>
        <v>-0.1117827097633744</v>
      </c>
      <c r="I57" s="1">
        <f t="shared" si="57"/>
        <v>-1.117827097633744E-2</v>
      </c>
      <c r="J57" s="1">
        <f t="shared" si="58"/>
        <v>-4.8018077331591524E-4</v>
      </c>
      <c r="K57" s="1">
        <f t="shared" si="59"/>
        <v>-9.9210408306279838</v>
      </c>
      <c r="L57" s="1">
        <f t="shared" si="60"/>
        <v>-0.36708065838293685</v>
      </c>
      <c r="M57" s="1">
        <f t="shared" si="61"/>
        <v>-3.6708065838293689E-2</v>
      </c>
      <c r="N57" s="1">
        <f t="shared" si="62"/>
        <v>-1.1012419751488107E-2</v>
      </c>
      <c r="O57" s="1">
        <f t="shared" si="63"/>
        <v>-4.4049679005952427E-2</v>
      </c>
      <c r="P57" s="1">
        <f t="shared" si="64"/>
        <v>-13.401713059502821</v>
      </c>
      <c r="Q57" s="1">
        <f t="shared" si="65"/>
        <v>5.2833369253121516</v>
      </c>
      <c r="R57" s="1">
        <f t="shared" si="66"/>
        <v>6.8961098546856174</v>
      </c>
      <c r="S57" s="1">
        <f t="shared" si="67"/>
        <v>2.0307431387161103</v>
      </c>
      <c r="T57" s="1">
        <f t="shared" si="68"/>
        <v>-9.8097383016379247</v>
      </c>
      <c r="U57" s="1"/>
    </row>
    <row r="58" spans="1:26">
      <c r="A58" s="3">
        <v>-0.1</v>
      </c>
      <c r="B58" s="12">
        <v>-0.1</v>
      </c>
      <c r="C58" s="12">
        <v>1</v>
      </c>
      <c r="D58" s="1">
        <f t="shared" si="52"/>
        <v>-14.619657737502598</v>
      </c>
      <c r="E58" s="1">
        <f t="shared" si="53"/>
        <v>1.930572640126548E-6</v>
      </c>
      <c r="F58" s="1">
        <f t="shared" si="54"/>
        <v>2.0307242003037382</v>
      </c>
      <c r="G58" s="1">
        <f t="shared" si="55"/>
        <v>0.861481749333046</v>
      </c>
      <c r="H58" s="1">
        <f t="shared" si="56"/>
        <v>1.4876562364074815E-2</v>
      </c>
      <c r="I58" s="1">
        <f t="shared" si="57"/>
        <v>1.4876562364074817E-3</v>
      </c>
      <c r="J58" s="1">
        <f t="shared" si="58"/>
        <v>2.8720284279219158E-9</v>
      </c>
      <c r="K58" s="1">
        <f t="shared" si="59"/>
        <v>-9.7948617392738502</v>
      </c>
      <c r="L58" s="1">
        <f t="shared" si="60"/>
        <v>-1.7018690023017229E-5</v>
      </c>
      <c r="M58" s="1">
        <f t="shared" si="61"/>
        <v>-1.701869002301723E-6</v>
      </c>
      <c r="N58" s="1">
        <f t="shared" si="62"/>
        <v>1.701869002301723E-7</v>
      </c>
      <c r="O58" s="1">
        <f t="shared" si="63"/>
        <v>1.701869002301723E-7</v>
      </c>
      <c r="P58" s="1">
        <f t="shared" si="64"/>
        <v>-13.401714761371824</v>
      </c>
      <c r="Q58" s="1">
        <f t="shared" si="65"/>
        <v>5.2833370954990517</v>
      </c>
      <c r="R58" s="1">
        <f t="shared" si="66"/>
        <v>6.8961100248725176</v>
      </c>
      <c r="S58" s="1">
        <f t="shared" si="67"/>
        <v>2.0322307949525178</v>
      </c>
      <c r="T58" s="1">
        <f t="shared" si="68"/>
        <v>-9.8097382987658968</v>
      </c>
      <c r="U58" s="1"/>
    </row>
    <row r="59" spans="1:26">
      <c r="A59" s="3">
        <v>-0.5</v>
      </c>
      <c r="B59" s="12">
        <v>-0.5</v>
      </c>
      <c r="C59" s="12">
        <v>1</v>
      </c>
      <c r="D59" s="1">
        <f t="shared" si="52"/>
        <v>-19.491438321557609</v>
      </c>
      <c r="E59" s="1">
        <f t="shared" si="53"/>
        <v>2.4070122075634109E-8</v>
      </c>
      <c r="F59" s="1">
        <f t="shared" si="54"/>
        <v>2.0322305588309195</v>
      </c>
      <c r="G59" s="1">
        <f t="shared" si="55"/>
        <v>0.86164344973169049</v>
      </c>
      <c r="H59" s="1">
        <f t="shared" si="56"/>
        <v>1.4844635906273817E-2</v>
      </c>
      <c r="I59" s="1">
        <f t="shared" si="57"/>
        <v>1.4844635906273817E-3</v>
      </c>
      <c r="J59" s="1">
        <f t="shared" si="58"/>
        <v>3.5731219843235214E-11</v>
      </c>
      <c r="K59" s="1">
        <f t="shared" si="59"/>
        <v>-9.7948936628596233</v>
      </c>
      <c r="L59" s="1">
        <f t="shared" si="60"/>
        <v>-2.1218785245720979E-7</v>
      </c>
      <c r="M59" s="1">
        <f t="shared" si="61"/>
        <v>-2.121878524572098E-8</v>
      </c>
      <c r="N59" s="1">
        <f t="shared" si="62"/>
        <v>1.060939262286049E-8</v>
      </c>
      <c r="O59" s="1">
        <f t="shared" si="63"/>
        <v>1.060939262286049E-8</v>
      </c>
      <c r="P59" s="1">
        <f t="shared" si="64"/>
        <v>-13.401714782590609</v>
      </c>
      <c r="Q59" s="1">
        <f t="shared" si="65"/>
        <v>5.2833371061084442</v>
      </c>
      <c r="R59" s="1">
        <f t="shared" si="66"/>
        <v>6.89611003548191</v>
      </c>
      <c r="S59" s="1">
        <f t="shared" si="67"/>
        <v>2.0337152585431451</v>
      </c>
      <c r="T59" s="1">
        <f t="shared" si="68"/>
        <v>-9.8097382987301653</v>
      </c>
      <c r="U59" s="1"/>
    </row>
    <row r="60" spans="1:26">
      <c r="A60" s="3">
        <v>-1</v>
      </c>
      <c r="B60" s="12">
        <v>-1</v>
      </c>
      <c r="C60" s="12">
        <v>0</v>
      </c>
      <c r="D60" s="1">
        <f t="shared" si="52"/>
        <v>-25.581161924180964</v>
      </c>
      <c r="E60" s="1">
        <f t="shared" si="53"/>
        <v>1.002809136327098E-10</v>
      </c>
      <c r="F60" s="1">
        <f t="shared" si="54"/>
        <v>2.0337152575594155</v>
      </c>
      <c r="G60" s="1">
        <f t="shared" si="55"/>
        <v>0.8618026699738589</v>
      </c>
      <c r="H60" s="1">
        <f t="shared" si="56"/>
        <v>-9.2375719164876385E-2</v>
      </c>
      <c r="I60" s="1">
        <f t="shared" si="57"/>
        <v>-9.2375719164876392E-3</v>
      </c>
      <c r="J60" s="1">
        <f t="shared" si="58"/>
        <v>-9.2635215153324249E-13</v>
      </c>
      <c r="K60" s="1">
        <f t="shared" si="59"/>
        <v>-9.9021140178950411</v>
      </c>
      <c r="L60" s="1">
        <f t="shared" si="60"/>
        <v>-8.9369373645917952E-10</v>
      </c>
      <c r="M60" s="1">
        <f t="shared" si="61"/>
        <v>-8.9369373645917957E-11</v>
      </c>
      <c r="N60" s="1">
        <f t="shared" si="62"/>
        <v>8.9369373645917957E-11</v>
      </c>
      <c r="O60" s="1">
        <f t="shared" si="63"/>
        <v>8.9369373645917957E-11</v>
      </c>
      <c r="P60" s="1">
        <f t="shared" si="64"/>
        <v>-13.401714782679978</v>
      </c>
      <c r="Q60" s="1">
        <f t="shared" si="65"/>
        <v>5.2833371061978136</v>
      </c>
      <c r="R60" s="1">
        <f t="shared" si="66"/>
        <v>6.8961100355712794</v>
      </c>
      <c r="S60" s="1">
        <f t="shared" si="67"/>
        <v>2.0244776866266574</v>
      </c>
      <c r="T60" s="1">
        <f t="shared" si="68"/>
        <v>-9.8097382987310908</v>
      </c>
      <c r="U60" s="1"/>
    </row>
    <row r="63" spans="1:26">
      <c r="A63" s="29" t="s">
        <v>0</v>
      </c>
      <c r="B63" s="29"/>
      <c r="C63" s="29"/>
      <c r="D63" s="29" t="s">
        <v>1</v>
      </c>
      <c r="E63" s="29"/>
      <c r="F63" s="30" t="s">
        <v>2</v>
      </c>
      <c r="G63" s="30"/>
      <c r="H63" s="29" t="s">
        <v>7</v>
      </c>
      <c r="I63" s="29"/>
      <c r="J63" s="29"/>
      <c r="K63" s="29" t="s">
        <v>11</v>
      </c>
      <c r="L63" s="29"/>
      <c r="M63" s="29"/>
      <c r="N63" s="29"/>
      <c r="O63" s="29"/>
      <c r="P63" s="29" t="s">
        <v>17</v>
      </c>
      <c r="Q63" s="29"/>
      <c r="R63" s="29"/>
      <c r="S63" s="29"/>
      <c r="T63" s="29"/>
      <c r="U63" s="4" t="s">
        <v>23</v>
      </c>
    </row>
    <row r="64" spans="1:26">
      <c r="A64" s="2" t="s">
        <v>25</v>
      </c>
      <c r="B64" s="2" t="s">
        <v>26</v>
      </c>
      <c r="C64" s="2" t="s">
        <v>27</v>
      </c>
      <c r="D64" s="2" t="s">
        <v>3</v>
      </c>
      <c r="E64" s="2" t="s">
        <v>4</v>
      </c>
      <c r="F64" s="2" t="s">
        <v>5</v>
      </c>
      <c r="G64" s="2" t="s">
        <v>6</v>
      </c>
      <c r="H64" s="2" t="s">
        <v>8</v>
      </c>
      <c r="I64" s="2" t="s">
        <v>9</v>
      </c>
      <c r="J64" s="2" t="s">
        <v>10</v>
      </c>
      <c r="K64" s="2" t="s">
        <v>12</v>
      </c>
      <c r="L64" s="2" t="s">
        <v>13</v>
      </c>
      <c r="M64" s="2" t="s">
        <v>14</v>
      </c>
      <c r="N64" s="2" t="s">
        <v>15</v>
      </c>
      <c r="O64" s="2" t="s">
        <v>16</v>
      </c>
      <c r="P64" s="2" t="s">
        <v>18</v>
      </c>
      <c r="Q64" s="2" t="s">
        <v>19</v>
      </c>
      <c r="R64" s="2" t="s">
        <v>20</v>
      </c>
      <c r="S64" s="2" t="s">
        <v>21</v>
      </c>
      <c r="T64" s="2" t="s">
        <v>22</v>
      </c>
      <c r="U64" s="2" t="s">
        <v>24</v>
      </c>
      <c r="W64" s="31" t="s">
        <v>39</v>
      </c>
      <c r="X64" s="32"/>
      <c r="Y64" s="32"/>
      <c r="Z64" s="32"/>
    </row>
    <row r="65" spans="1:26">
      <c r="A65" s="5"/>
      <c r="B65" s="5"/>
      <c r="C65" s="5"/>
      <c r="D65" s="6"/>
      <c r="E65" s="6"/>
      <c r="F65" s="6"/>
      <c r="G65" s="6"/>
      <c r="H65" s="6"/>
      <c r="I65" s="6"/>
      <c r="J65" s="6"/>
      <c r="K65" s="6"/>
      <c r="L65" s="6"/>
      <c r="M65" s="6"/>
      <c r="N65" s="6"/>
      <c r="O65" s="6"/>
      <c r="P65" s="19">
        <f>P60</f>
        <v>-13.401714782679978</v>
      </c>
      <c r="Q65" s="22">
        <f>Q60</f>
        <v>5.2833371061978136</v>
      </c>
      <c r="R65" s="22">
        <f>R60</f>
        <v>6.8961100355712794</v>
      </c>
      <c r="S65" s="22">
        <f>S60</f>
        <v>2.0244776866266574</v>
      </c>
      <c r="T65" s="22">
        <f>T60</f>
        <v>-9.8097382987310908</v>
      </c>
      <c r="U65" s="1"/>
      <c r="W65" s="32"/>
      <c r="X65" s="32"/>
      <c r="Y65" s="32"/>
      <c r="Z65" s="32"/>
    </row>
    <row r="66" spans="1:26">
      <c r="A66" s="3">
        <v>0.1</v>
      </c>
      <c r="B66" s="12">
        <v>0.1</v>
      </c>
      <c r="C66" s="12">
        <v>1</v>
      </c>
      <c r="D66" s="1">
        <f>P65+(Q65*A66)+(R65*B66)</f>
        <v>-12.183770068503069</v>
      </c>
      <c r="E66" s="1">
        <f>1/(1+EXP(-$B$15*D66))</f>
        <v>1.7289514278032669E-5</v>
      </c>
      <c r="F66" s="1">
        <f>S65+(T65*E66)</f>
        <v>2.0243080810162777</v>
      </c>
      <c r="G66" s="1">
        <f>1/(1+EXP(-$B$15*F66))</f>
        <v>0.86079123246194167</v>
      </c>
      <c r="H66" s="1">
        <f>(C66-G66)*$B$15*G66*(1-G66)</f>
        <v>1.5013208684769989E-2</v>
      </c>
      <c r="I66" s="1">
        <f>$B$16*H66</f>
        <v>1.5013208684769991E-3</v>
      </c>
      <c r="J66" s="1">
        <f>$B$16*H66*E66</f>
        <v>2.5957108591441483E-8</v>
      </c>
      <c r="K66" s="1">
        <f>H66+T65</f>
        <v>-9.7947250900463203</v>
      </c>
      <c r="L66" s="1">
        <f>K66*$B$15*E66*(1-E66)</f>
        <v>-1.5240880024469674E-4</v>
      </c>
      <c r="M66" s="1">
        <f>$B$16*L66</f>
        <v>-1.5240880024469674E-5</v>
      </c>
      <c r="N66" s="1">
        <f>$B$16*L66*A66</f>
        <v>-1.5240880024469675E-6</v>
      </c>
      <c r="O66" s="1">
        <f>$B$16*L66*B66</f>
        <v>-1.5240880024469675E-6</v>
      </c>
      <c r="P66" s="1">
        <f>P65+M66</f>
        <v>-13.401730023560003</v>
      </c>
      <c r="Q66" s="1">
        <f>Q65+N66</f>
        <v>5.2833355821098111</v>
      </c>
      <c r="R66" s="1">
        <f>R65+O66</f>
        <v>6.896108511483277</v>
      </c>
      <c r="S66" s="1">
        <f>S65+I66</f>
        <v>2.0259790074951343</v>
      </c>
      <c r="T66" s="1">
        <f>T65+J66</f>
        <v>-9.8097382727739824</v>
      </c>
      <c r="U66" s="1"/>
      <c r="W66" s="32"/>
      <c r="X66" s="32"/>
      <c r="Y66" s="32"/>
      <c r="Z66" s="32"/>
    </row>
    <row r="67" spans="1:26">
      <c r="A67" s="3">
        <v>0.5</v>
      </c>
      <c r="B67" s="12">
        <v>0.5</v>
      </c>
      <c r="C67" s="12">
        <v>1</v>
      </c>
      <c r="D67" s="1">
        <f t="shared" ref="D67:D75" si="69">P66+(Q66*A67)+(R66*B67)</f>
        <v>-7.3120079767634589</v>
      </c>
      <c r="E67" s="1">
        <f t="shared" ref="E67:E75" si="70">1/(1+EXP(-$B$15*D67))</f>
        <v>1.3848091482026904E-3</v>
      </c>
      <c r="F67" s="1">
        <f t="shared" ref="F67:F75" si="71">S66+(T66*E67)</f>
        <v>2.012394392193523</v>
      </c>
      <c r="G67" s="1">
        <f t="shared" ref="G67:G75" si="72">1/(1+EXP(-$B$15*F67))</f>
        <v>0.85950140285110821</v>
      </c>
      <c r="H67" s="1">
        <f t="shared" ref="H67:H75" si="73">(C67-G67)*$B$15*G67*(1-G67)</f>
        <v>1.5269790377584662E-2</v>
      </c>
      <c r="I67" s="1">
        <f t="shared" ref="I67:I75" si="74">$B$16*H67</f>
        <v>1.5269790377584662E-3</v>
      </c>
      <c r="J67" s="1">
        <f t="shared" ref="J67:J75" si="75">$B$16*H67*E67</f>
        <v>2.1145745406016653E-6</v>
      </c>
      <c r="K67" s="1">
        <f t="shared" ref="K67:K75" si="76">H67+T66</f>
        <v>-9.7944684823963986</v>
      </c>
      <c r="L67" s="1">
        <f t="shared" ref="L67:L75" si="77">K67*$B$15*E67*(1-E67)</f>
        <v>-1.2190218065534386E-2</v>
      </c>
      <c r="M67" s="1">
        <f t="shared" ref="M67:M75" si="78">$B$16*L67</f>
        <v>-1.2190218065534387E-3</v>
      </c>
      <c r="N67" s="1">
        <f t="shared" ref="N67:N75" si="79">$B$16*L67*A67</f>
        <v>-6.0951090327671933E-4</v>
      </c>
      <c r="O67" s="1">
        <f t="shared" ref="O67:O75" si="80">$B$16*L67*B67</f>
        <v>-6.0951090327671933E-4</v>
      </c>
      <c r="P67" s="1">
        <f t="shared" ref="P67:P75" si="81">P66+M67</f>
        <v>-13.402949045366556</v>
      </c>
      <c r="Q67" s="1">
        <f t="shared" ref="Q67:Q75" si="82">Q66+N67</f>
        <v>5.2827260712065343</v>
      </c>
      <c r="R67" s="1">
        <f t="shared" ref="R67:R75" si="83">R66+O67</f>
        <v>6.8954990005800001</v>
      </c>
      <c r="S67" s="1">
        <f t="shared" ref="S67:S75" si="84">S66+I67</f>
        <v>2.0275059865328928</v>
      </c>
      <c r="T67" s="1">
        <f t="shared" ref="T67:T75" si="85">T66+J67</f>
        <v>-9.809736158199442</v>
      </c>
      <c r="U67" s="1"/>
    </row>
    <row r="68" spans="1:26">
      <c r="A68" s="3">
        <v>0.9</v>
      </c>
      <c r="B68" s="12">
        <v>0.1</v>
      </c>
      <c r="C68" s="12">
        <v>1</v>
      </c>
      <c r="D68" s="1">
        <f t="shared" si="69"/>
        <v>-7.9589456812226755</v>
      </c>
      <c r="E68" s="1">
        <f t="shared" si="70"/>
        <v>7.740876092998325E-4</v>
      </c>
      <c r="F68" s="1">
        <f t="shared" si="71"/>
        <v>2.0199123913223302</v>
      </c>
      <c r="G68" s="1">
        <f t="shared" si="72"/>
        <v>0.86031649476552419</v>
      </c>
      <c r="H68" s="1">
        <f t="shared" si="73"/>
        <v>1.5107444538797001E-2</v>
      </c>
      <c r="I68" s="1">
        <f t="shared" si="74"/>
        <v>1.5107444538797002E-3</v>
      </c>
      <c r="J68" s="1">
        <f t="shared" si="75"/>
        <v>1.1694485625667181E-6</v>
      </c>
      <c r="K68" s="1">
        <f t="shared" si="76"/>
        <v>-9.7946287136606447</v>
      </c>
      <c r="L68" s="1">
        <f t="shared" si="77"/>
        <v>-6.8184285025778522E-3</v>
      </c>
      <c r="M68" s="1">
        <f t="shared" si="78"/>
        <v>-6.8184285025778529E-4</v>
      </c>
      <c r="N68" s="1">
        <f t="shared" si="79"/>
        <v>-6.1365856523200681E-4</v>
      </c>
      <c r="O68" s="1">
        <f t="shared" si="80"/>
        <v>-6.8184285025778529E-5</v>
      </c>
      <c r="P68" s="1">
        <f t="shared" si="81"/>
        <v>-13.403630888216814</v>
      </c>
      <c r="Q68" s="1">
        <f t="shared" si="82"/>
        <v>5.2821124126413022</v>
      </c>
      <c r="R68" s="1">
        <f t="shared" si="83"/>
        <v>6.895430816294974</v>
      </c>
      <c r="S68" s="1">
        <f t="shared" si="84"/>
        <v>2.0290167309867724</v>
      </c>
      <c r="T68" s="1">
        <f t="shared" si="85"/>
        <v>-9.8097349887508791</v>
      </c>
      <c r="U68" s="1"/>
    </row>
    <row r="69" spans="1:26">
      <c r="A69" s="3">
        <v>0.2</v>
      </c>
      <c r="B69" s="12">
        <v>0.8</v>
      </c>
      <c r="C69" s="12">
        <v>1</v>
      </c>
      <c r="D69" s="1">
        <f t="shared" si="69"/>
        <v>-6.830863752652574</v>
      </c>
      <c r="E69" s="1">
        <f t="shared" si="70"/>
        <v>2.1336667005762626E-3</v>
      </c>
      <c r="F69" s="1">
        <f t="shared" si="71"/>
        <v>2.0080860260997966</v>
      </c>
      <c r="G69" s="1">
        <f t="shared" si="72"/>
        <v>0.85903250422450106</v>
      </c>
      <c r="H69" s="1">
        <f t="shared" si="73"/>
        <v>1.5363496861021494E-2</v>
      </c>
      <c r="I69" s="1">
        <f t="shared" si="74"/>
        <v>1.5363496861021495E-3</v>
      </c>
      <c r="J69" s="1">
        <f t="shared" si="75"/>
        <v>3.2780581656769502E-6</v>
      </c>
      <c r="K69" s="1">
        <f t="shared" si="76"/>
        <v>-9.7943714918898568</v>
      </c>
      <c r="L69" s="1">
        <f t="shared" si="77"/>
        <v>-1.8768001590105676E-2</v>
      </c>
      <c r="M69" s="1">
        <f t="shared" si="78"/>
        <v>-1.8768001590105676E-3</v>
      </c>
      <c r="N69" s="1">
        <f t="shared" si="79"/>
        <v>-3.7536003180211355E-4</v>
      </c>
      <c r="O69" s="1">
        <f t="shared" si="80"/>
        <v>-1.5014401272084542E-3</v>
      </c>
      <c r="P69" s="1">
        <f t="shared" si="81"/>
        <v>-13.405507688375824</v>
      </c>
      <c r="Q69" s="1">
        <f t="shared" si="82"/>
        <v>5.2817370526095004</v>
      </c>
      <c r="R69" s="1">
        <f t="shared" si="83"/>
        <v>6.8939293761677654</v>
      </c>
      <c r="S69" s="1">
        <f t="shared" si="84"/>
        <v>2.0305530806728744</v>
      </c>
      <c r="T69" s="1">
        <f t="shared" si="85"/>
        <v>-9.8097317106927129</v>
      </c>
      <c r="U69" s="1">
        <f>(((C66-G66)^2 + (C67-G67)^2 + (C68-G68)^2 + (C69-G69)^2 + (C70-G70)^2 + (C71-G71)^2 + (C72-G72)^2 + (C73-G73)^2 + (C74-G74)^2 + (C75-G75)^2)/4)</f>
        <v>0.60421019911755725</v>
      </c>
    </row>
    <row r="70" spans="1:26">
      <c r="A70" s="3">
        <v>0.6</v>
      </c>
      <c r="B70" s="12">
        <v>0.9</v>
      </c>
      <c r="C70" s="12">
        <v>0</v>
      </c>
      <c r="D70" s="1">
        <f t="shared" si="69"/>
        <v>-4.0319290182591336</v>
      </c>
      <c r="E70" s="1">
        <f t="shared" si="70"/>
        <v>2.5863061939939286E-2</v>
      </c>
      <c r="F70" s="1">
        <f t="shared" si="71"/>
        <v>1.7768433818250422</v>
      </c>
      <c r="G70" s="1">
        <f t="shared" si="72"/>
        <v>0.83190081706495422</v>
      </c>
      <c r="H70" s="1">
        <f t="shared" si="73"/>
        <v>-0.1047010925741526</v>
      </c>
      <c r="I70" s="1">
        <f t="shared" si="74"/>
        <v>-1.0470109257415261E-2</v>
      </c>
      <c r="J70" s="1">
        <f t="shared" si="75"/>
        <v>-2.7078908424246263E-4</v>
      </c>
      <c r="K70" s="1">
        <f t="shared" si="76"/>
        <v>-9.914432803266866</v>
      </c>
      <c r="L70" s="1">
        <f t="shared" si="77"/>
        <v>-0.22480726111704705</v>
      </c>
      <c r="M70" s="1">
        <f t="shared" si="78"/>
        <v>-2.2480726111704707E-2</v>
      </c>
      <c r="N70" s="1">
        <f t="shared" si="79"/>
        <v>-1.3488435667022824E-2</v>
      </c>
      <c r="O70" s="1">
        <f t="shared" si="80"/>
        <v>-2.0232653500534239E-2</v>
      </c>
      <c r="P70" s="1">
        <f t="shared" si="81"/>
        <v>-13.427988414487528</v>
      </c>
      <c r="Q70" s="1">
        <f t="shared" si="82"/>
        <v>5.2682486169424774</v>
      </c>
      <c r="R70" s="1">
        <f t="shared" si="83"/>
        <v>6.8736967226672308</v>
      </c>
      <c r="S70" s="1">
        <f t="shared" si="84"/>
        <v>2.0200829714154591</v>
      </c>
      <c r="T70" s="1">
        <f t="shared" si="85"/>
        <v>-9.8100024997769548</v>
      </c>
      <c r="U70" s="1"/>
    </row>
    <row r="71" spans="1:26">
      <c r="A71" s="3">
        <v>1</v>
      </c>
      <c r="B71" s="12">
        <v>1</v>
      </c>
      <c r="C71" s="12">
        <v>0</v>
      </c>
      <c r="D71" s="1">
        <f t="shared" si="69"/>
        <v>-1.2860430748778198</v>
      </c>
      <c r="E71" s="1">
        <f t="shared" si="70"/>
        <v>0.23913298592657475</v>
      </c>
      <c r="F71" s="1">
        <f t="shared" si="71"/>
        <v>-0.32581221830336649</v>
      </c>
      <c r="G71" s="1">
        <f t="shared" si="72"/>
        <v>0.42721305028395795</v>
      </c>
      <c r="H71" s="1">
        <f t="shared" si="73"/>
        <v>-9.4085922098204405E-2</v>
      </c>
      <c r="I71" s="1">
        <f t="shared" si="74"/>
        <v>-9.4085922098204409E-3</v>
      </c>
      <c r="J71" s="1">
        <f t="shared" si="75"/>
        <v>-2.2499047484998724E-3</v>
      </c>
      <c r="K71" s="1">
        <f t="shared" si="76"/>
        <v>-9.9040884218751586</v>
      </c>
      <c r="L71" s="1">
        <f t="shared" si="77"/>
        <v>-1.6218297462689835</v>
      </c>
      <c r="M71" s="1">
        <f t="shared" si="78"/>
        <v>-0.16218297462689835</v>
      </c>
      <c r="N71" s="1">
        <f t="shared" si="79"/>
        <v>-0.16218297462689835</v>
      </c>
      <c r="O71" s="1">
        <f t="shared" si="80"/>
        <v>-0.16218297462689835</v>
      </c>
      <c r="P71" s="1">
        <f t="shared" si="81"/>
        <v>-13.590171389114426</v>
      </c>
      <c r="Q71" s="1">
        <f t="shared" si="82"/>
        <v>5.1060656423155795</v>
      </c>
      <c r="R71" s="1">
        <f t="shared" si="83"/>
        <v>6.711513748040332</v>
      </c>
      <c r="S71" s="1">
        <f t="shared" si="84"/>
        <v>2.0106743792056387</v>
      </c>
      <c r="T71" s="1">
        <f t="shared" si="85"/>
        <v>-9.812252404525454</v>
      </c>
      <c r="U71" s="1"/>
    </row>
    <row r="72" spans="1:26">
      <c r="A72" s="3">
        <v>0.3</v>
      </c>
      <c r="B72" s="12">
        <v>1.2</v>
      </c>
      <c r="C72" s="12">
        <v>0</v>
      </c>
      <c r="D72" s="1">
        <f t="shared" si="69"/>
        <v>-4.0045351987713538</v>
      </c>
      <c r="E72" s="1">
        <f t="shared" si="70"/>
        <v>2.6491524511551519E-2</v>
      </c>
      <c r="F72" s="1">
        <f t="shared" si="71"/>
        <v>1.7507328541176224</v>
      </c>
      <c r="G72" s="1">
        <f t="shared" si="72"/>
        <v>0.82858892842039922</v>
      </c>
      <c r="H72" s="1">
        <f t="shared" si="73"/>
        <v>-0.10591552696298995</v>
      </c>
      <c r="I72" s="1">
        <f t="shared" si="74"/>
        <v>-1.0591552696298995E-2</v>
      </c>
      <c r="J72" s="1">
        <f t="shared" si="75"/>
        <v>-2.805863778693944E-4</v>
      </c>
      <c r="K72" s="1">
        <f t="shared" si="76"/>
        <v>-9.9181679314884441</v>
      </c>
      <c r="L72" s="1">
        <f t="shared" si="77"/>
        <v>-0.23020812897678153</v>
      </c>
      <c r="M72" s="1">
        <f t="shared" si="78"/>
        <v>-2.3020812897678156E-2</v>
      </c>
      <c r="N72" s="1">
        <f t="shared" si="79"/>
        <v>-6.9062438693034463E-3</v>
      </c>
      <c r="O72" s="1">
        <f t="shared" si="80"/>
        <v>-2.7624975477213785E-2</v>
      </c>
      <c r="P72" s="1">
        <f t="shared" si="81"/>
        <v>-13.613192202012105</v>
      </c>
      <c r="Q72" s="1">
        <f t="shared" si="82"/>
        <v>5.0991593984462762</v>
      </c>
      <c r="R72" s="1">
        <f t="shared" si="83"/>
        <v>6.683888772563118</v>
      </c>
      <c r="S72" s="1">
        <f t="shared" si="84"/>
        <v>2.0000828265093396</v>
      </c>
      <c r="T72" s="1">
        <f t="shared" si="85"/>
        <v>-9.812532990903323</v>
      </c>
      <c r="U72" s="1"/>
    </row>
    <row r="73" spans="1:26">
      <c r="A73" s="3">
        <v>-0.1</v>
      </c>
      <c r="B73" s="12">
        <v>-0.1</v>
      </c>
      <c r="C73" s="12">
        <v>1</v>
      </c>
      <c r="D73" s="1">
        <f t="shared" si="69"/>
        <v>-14.791497019113045</v>
      </c>
      <c r="E73" s="1">
        <f t="shared" si="70"/>
        <v>1.6539420948334914E-6</v>
      </c>
      <c r="F73" s="1">
        <f t="shared" si="71"/>
        <v>2.0000665971479687</v>
      </c>
      <c r="G73" s="1">
        <f t="shared" si="72"/>
        <v>0.85815623108708894</v>
      </c>
      <c r="H73" s="1">
        <f t="shared" si="73"/>
        <v>1.5539226404651834E-2</v>
      </c>
      <c r="I73" s="1">
        <f t="shared" si="74"/>
        <v>1.5539226404651836E-3</v>
      </c>
      <c r="J73" s="1">
        <f t="shared" si="75"/>
        <v>2.570098067180176E-9</v>
      </c>
      <c r="K73" s="1">
        <f t="shared" si="76"/>
        <v>-9.7969937644986711</v>
      </c>
      <c r="L73" s="1">
        <f t="shared" si="77"/>
        <v>-1.4583270231008618E-5</v>
      </c>
      <c r="M73" s="1">
        <f t="shared" si="78"/>
        <v>-1.4583270231008619E-6</v>
      </c>
      <c r="N73" s="1">
        <f t="shared" si="79"/>
        <v>1.458327023100862E-7</v>
      </c>
      <c r="O73" s="1">
        <f t="shared" si="80"/>
        <v>1.458327023100862E-7</v>
      </c>
      <c r="P73" s="1">
        <f t="shared" si="81"/>
        <v>-13.613193660339128</v>
      </c>
      <c r="Q73" s="1">
        <f t="shared" si="82"/>
        <v>5.0991595442789786</v>
      </c>
      <c r="R73" s="1">
        <f t="shared" si="83"/>
        <v>6.6838889183958203</v>
      </c>
      <c r="S73" s="1">
        <f t="shared" si="84"/>
        <v>2.0016367491498048</v>
      </c>
      <c r="T73" s="1">
        <f t="shared" si="85"/>
        <v>-9.8125329883332242</v>
      </c>
      <c r="U73" s="1"/>
    </row>
    <row r="74" spans="1:26">
      <c r="A74" s="3">
        <v>-0.5</v>
      </c>
      <c r="B74" s="12">
        <v>-0.5</v>
      </c>
      <c r="C74" s="12">
        <v>1</v>
      </c>
      <c r="D74" s="1">
        <f t="shared" si="69"/>
        <v>-19.504717891676528</v>
      </c>
      <c r="E74" s="1">
        <f t="shared" si="70"/>
        <v>2.3784157568513016E-8</v>
      </c>
      <c r="F74" s="1">
        <f t="shared" si="71"/>
        <v>2.001636515766974</v>
      </c>
      <c r="G74" s="1">
        <f t="shared" si="72"/>
        <v>0.85832813132647312</v>
      </c>
      <c r="H74" s="1">
        <f t="shared" si="73"/>
        <v>1.5504690475339826E-2</v>
      </c>
      <c r="I74" s="1">
        <f t="shared" si="74"/>
        <v>1.5504690475339827E-3</v>
      </c>
      <c r="J74" s="1">
        <f t="shared" si="75"/>
        <v>3.6876600131650539E-11</v>
      </c>
      <c r="K74" s="1">
        <f t="shared" si="76"/>
        <v>-9.7970282978578851</v>
      </c>
      <c r="L74" s="1">
        <f t="shared" si="77"/>
        <v>-2.0971265327765063E-7</v>
      </c>
      <c r="M74" s="1">
        <f t="shared" si="78"/>
        <v>-2.0971265327765065E-8</v>
      </c>
      <c r="N74" s="1">
        <f t="shared" si="79"/>
        <v>1.0485632663882532E-8</v>
      </c>
      <c r="O74" s="1">
        <f t="shared" si="80"/>
        <v>1.0485632663882532E-8</v>
      </c>
      <c r="P74" s="1">
        <f t="shared" si="81"/>
        <v>-13.613193681310394</v>
      </c>
      <c r="Q74" s="1">
        <f t="shared" si="82"/>
        <v>5.0991595547646114</v>
      </c>
      <c r="R74" s="1">
        <f t="shared" si="83"/>
        <v>6.6838889288814531</v>
      </c>
      <c r="S74" s="1">
        <f t="shared" si="84"/>
        <v>2.0031872181973389</v>
      </c>
      <c r="T74" s="1">
        <f t="shared" si="85"/>
        <v>-9.812532988296347</v>
      </c>
      <c r="U74" s="1"/>
    </row>
    <row r="75" spans="1:26">
      <c r="A75" s="3">
        <v>-1</v>
      </c>
      <c r="B75" s="12">
        <v>-1</v>
      </c>
      <c r="C75" s="12">
        <v>0</v>
      </c>
      <c r="D75" s="1">
        <f t="shared" si="69"/>
        <v>-25.396242164956455</v>
      </c>
      <c r="E75" s="1">
        <f t="shared" si="70"/>
        <v>1.1843960489854734E-10</v>
      </c>
      <c r="F75" s="1">
        <f t="shared" si="71"/>
        <v>2.0031872170351464</v>
      </c>
      <c r="G75" s="1">
        <f t="shared" si="72"/>
        <v>0.85849775654346139</v>
      </c>
      <c r="H75" s="1">
        <f t="shared" si="73"/>
        <v>-9.3860781105916044E-2</v>
      </c>
      <c r="I75" s="1">
        <f t="shared" si="74"/>
        <v>-9.3860781105916044E-3</v>
      </c>
      <c r="J75" s="1">
        <f t="shared" si="75"/>
        <v>-1.1116833829653734E-12</v>
      </c>
      <c r="K75" s="1">
        <f t="shared" si="76"/>
        <v>-9.9063937694022624</v>
      </c>
      <c r="L75" s="1">
        <f t="shared" si="77"/>
        <v>-1.0559784274906218E-9</v>
      </c>
      <c r="M75" s="1">
        <f t="shared" si="78"/>
        <v>-1.0559784274906219E-10</v>
      </c>
      <c r="N75" s="1">
        <f t="shared" si="79"/>
        <v>1.0559784274906219E-10</v>
      </c>
      <c r="O75" s="1">
        <f t="shared" si="80"/>
        <v>1.0559784274906219E-10</v>
      </c>
      <c r="P75" s="1">
        <f t="shared" si="81"/>
        <v>-13.613193681415991</v>
      </c>
      <c r="Q75" s="1">
        <f t="shared" si="82"/>
        <v>5.0991595548702096</v>
      </c>
      <c r="R75" s="1">
        <f t="shared" si="83"/>
        <v>6.6838889289870513</v>
      </c>
      <c r="S75" s="1">
        <f t="shared" si="84"/>
        <v>1.9938011400867472</v>
      </c>
      <c r="T75" s="1">
        <f t="shared" si="85"/>
        <v>-9.812532988297459</v>
      </c>
      <c r="U75" s="1"/>
    </row>
    <row r="78" spans="1:26">
      <c r="A78" s="29" t="s">
        <v>0</v>
      </c>
      <c r="B78" s="29"/>
      <c r="C78" s="29"/>
      <c r="D78" s="29" t="s">
        <v>1</v>
      </c>
      <c r="E78" s="29"/>
      <c r="F78" s="30" t="s">
        <v>2</v>
      </c>
      <c r="G78" s="30"/>
      <c r="H78" s="29" t="s">
        <v>7</v>
      </c>
      <c r="I78" s="29"/>
      <c r="J78" s="29"/>
      <c r="K78" s="29" t="s">
        <v>11</v>
      </c>
      <c r="L78" s="29"/>
      <c r="M78" s="29"/>
      <c r="N78" s="29"/>
      <c r="O78" s="29"/>
      <c r="P78" s="29" t="s">
        <v>17</v>
      </c>
      <c r="Q78" s="29"/>
      <c r="R78" s="29"/>
      <c r="S78" s="29"/>
      <c r="T78" s="29"/>
      <c r="U78" s="4" t="s">
        <v>23</v>
      </c>
    </row>
    <row r="79" spans="1:26">
      <c r="A79" s="2" t="s">
        <v>25</v>
      </c>
      <c r="B79" s="2" t="s">
        <v>26</v>
      </c>
      <c r="C79" s="2" t="s">
        <v>27</v>
      </c>
      <c r="D79" s="2" t="s">
        <v>3</v>
      </c>
      <c r="E79" s="2" t="s">
        <v>4</v>
      </c>
      <c r="F79" s="2" t="s">
        <v>5</v>
      </c>
      <c r="G79" s="2" t="s">
        <v>6</v>
      </c>
      <c r="H79" s="2" t="s">
        <v>8</v>
      </c>
      <c r="I79" s="2" t="s">
        <v>9</v>
      </c>
      <c r="J79" s="2" t="s">
        <v>10</v>
      </c>
      <c r="K79" s="2" t="s">
        <v>12</v>
      </c>
      <c r="L79" s="2" t="s">
        <v>13</v>
      </c>
      <c r="M79" s="2" t="s">
        <v>14</v>
      </c>
      <c r="N79" s="2" t="s">
        <v>15</v>
      </c>
      <c r="O79" s="2" t="s">
        <v>16</v>
      </c>
      <c r="P79" s="2" t="s">
        <v>18</v>
      </c>
      <c r="Q79" s="2" t="s">
        <v>19</v>
      </c>
      <c r="R79" s="2" t="s">
        <v>20</v>
      </c>
      <c r="S79" s="2" t="s">
        <v>21</v>
      </c>
      <c r="T79" s="2" t="s">
        <v>22</v>
      </c>
      <c r="U79" s="2" t="s">
        <v>24</v>
      </c>
      <c r="W79" s="31" t="s">
        <v>40</v>
      </c>
      <c r="X79" s="32"/>
      <c r="Y79" s="32"/>
      <c r="Z79" s="32"/>
    </row>
    <row r="80" spans="1:26">
      <c r="A80" s="5"/>
      <c r="B80" s="5"/>
      <c r="C80" s="5"/>
      <c r="D80" s="6"/>
      <c r="E80" s="6"/>
      <c r="F80" s="6"/>
      <c r="G80" s="6"/>
      <c r="H80" s="6"/>
      <c r="I80" s="6"/>
      <c r="J80" s="6"/>
      <c r="K80" s="6"/>
      <c r="L80" s="6"/>
      <c r="M80" s="6"/>
      <c r="N80" s="6"/>
      <c r="O80" s="6"/>
      <c r="P80" s="19">
        <f>P75</f>
        <v>-13.613193681415991</v>
      </c>
      <c r="Q80" s="22">
        <f>Q75</f>
        <v>5.0991595548702096</v>
      </c>
      <c r="R80" s="22">
        <f>R75</f>
        <v>6.6838889289870513</v>
      </c>
      <c r="S80" s="22">
        <f>S75</f>
        <v>1.9938011400867472</v>
      </c>
      <c r="T80" s="22">
        <f>T75</f>
        <v>-9.812532988297459</v>
      </c>
      <c r="U80" s="1"/>
      <c r="W80" s="32"/>
      <c r="X80" s="32"/>
      <c r="Y80" s="32"/>
      <c r="Z80" s="32"/>
    </row>
    <row r="81" spans="1:26">
      <c r="A81" s="3">
        <v>0.1</v>
      </c>
      <c r="B81" s="12">
        <v>0.1</v>
      </c>
      <c r="C81" s="12">
        <v>1</v>
      </c>
      <c r="D81" s="1">
        <f>P80+(Q80*A81)+(R80*B81)</f>
        <v>-12.434888833030266</v>
      </c>
      <c r="E81" s="1">
        <f>1/(1+EXP(-$B$15*D81))</f>
        <v>1.379211174473781E-5</v>
      </c>
      <c r="F81" s="1">
        <f>S80+(T80*E81)</f>
        <v>1.9936658045352738</v>
      </c>
      <c r="G81" s="1">
        <f>1/(1+EXP(-$B$15*F81))</f>
        <v>0.8574535655363934</v>
      </c>
      <c r="H81" s="1">
        <f>(C81-G81)*$B$15*G81*(1-G81)</f>
        <v>1.5680714131754269E-2</v>
      </c>
      <c r="I81" s="1">
        <f>$B$16*H81</f>
        <v>1.5680714131754269E-3</v>
      </c>
      <c r="J81" s="1">
        <f>$B$16*H81*E81</f>
        <v>2.1627016154244419E-8</v>
      </c>
      <c r="K81" s="1">
        <f>H81+T80</f>
        <v>-9.7968522741657047</v>
      </c>
      <c r="L81" s="1">
        <f>K81*$B$15*E81*(1-E81)</f>
        <v>-1.2160567595857985E-4</v>
      </c>
      <c r="M81" s="1">
        <f>$B$16*L81</f>
        <v>-1.2160567595857986E-5</v>
      </c>
      <c r="N81" s="1">
        <f>$B$16*L81*A81</f>
        <v>-1.2160567595857987E-6</v>
      </c>
      <c r="O81" s="1">
        <f>$B$16*L81*B81</f>
        <v>-1.2160567595857987E-6</v>
      </c>
      <c r="P81" s="24">
        <f>P80+M81</f>
        <v>-13.613205841983588</v>
      </c>
      <c r="Q81" s="1">
        <f>Q80+N81</f>
        <v>5.0991583388134503</v>
      </c>
      <c r="R81" s="1">
        <f>R80+O81</f>
        <v>6.683887712930292</v>
      </c>
      <c r="S81" s="1">
        <f>S80+I81</f>
        <v>1.9953692114999226</v>
      </c>
      <c r="T81" s="1">
        <f>T80+J81</f>
        <v>-9.8125329666704424</v>
      </c>
      <c r="U81" s="1"/>
      <c r="W81" s="32"/>
      <c r="X81" s="32"/>
      <c r="Y81" s="32"/>
      <c r="Z81" s="32"/>
    </row>
    <row r="82" spans="1:26">
      <c r="A82" s="3">
        <v>0.5</v>
      </c>
      <c r="B82" s="12">
        <v>0.5</v>
      </c>
      <c r="C82" s="12">
        <v>1</v>
      </c>
      <c r="D82" s="1">
        <f t="shared" ref="D82:D90" si="86">P81+(Q81*A82)+(R81*B82)</f>
        <v>-7.7216828161117164</v>
      </c>
      <c r="E82" s="1">
        <f t="shared" ref="E82:E90" si="87">1/(1+EXP(-$B$15*D82))</f>
        <v>9.5818165831775481E-4</v>
      </c>
      <c r="F82" s="1">
        <f t="shared" ref="F82:F90" si="88">S81+(T81*E82)</f>
        <v>1.9859670223896206</v>
      </c>
      <c r="G82" s="1">
        <f t="shared" ref="G82:G90" si="89">1/(1+EXP(-$B$15*F82))</f>
        <v>0.85660456738335844</v>
      </c>
      <c r="H82" s="1">
        <f t="shared" ref="H82:H90" si="90">(C82-G82)*$B$15*G82*(1-G82)</f>
        <v>1.585234561259222E-2</v>
      </c>
      <c r="I82" s="1">
        <f t="shared" ref="I82:I90" si="91">$B$16*H82</f>
        <v>1.5852345612592221E-3</v>
      </c>
      <c r="J82" s="1">
        <f t="shared" ref="J82:J90" si="92">$B$16*H82*E82</f>
        <v>1.51894268072998E-6</v>
      </c>
      <c r="K82" s="1">
        <f t="shared" ref="K82:K90" si="93">H82+T81</f>
        <v>-9.7966806210578508</v>
      </c>
      <c r="L82" s="1">
        <f t="shared" ref="L82:L90" si="94">K82*$B$15*E82*(1-E82)</f>
        <v>-8.4402047093141384E-3</v>
      </c>
      <c r="M82" s="1">
        <f t="shared" ref="M82:M90" si="95">$B$16*L82</f>
        <v>-8.4402047093141389E-4</v>
      </c>
      <c r="N82" s="1">
        <f t="shared" ref="N82:N90" si="96">$B$16*L82*A82</f>
        <v>-4.2201023546570694E-4</v>
      </c>
      <c r="O82" s="1">
        <f t="shared" ref="O82:O90" si="97">$B$16*L82*B82</f>
        <v>-4.2201023546570694E-4</v>
      </c>
      <c r="P82" s="1">
        <f t="shared" ref="P82:P90" si="98">P81+M82</f>
        <v>-13.614049862454518</v>
      </c>
      <c r="Q82" s="1">
        <f t="shared" ref="Q82:Q90" si="99">Q81+N82</f>
        <v>5.098736328577985</v>
      </c>
      <c r="R82" s="1">
        <f t="shared" ref="R82:R90" si="100">R81+O82</f>
        <v>6.6834657026948268</v>
      </c>
      <c r="S82" s="1">
        <f t="shared" ref="S82:S90" si="101">S81+I82</f>
        <v>1.9969544460611819</v>
      </c>
      <c r="T82" s="1">
        <f t="shared" ref="T82:T90" si="102">T81+J82</f>
        <v>-9.8125314477277623</v>
      </c>
      <c r="U82" s="1"/>
    </row>
    <row r="83" spans="1:26">
      <c r="A83" s="3">
        <v>0.9</v>
      </c>
      <c r="B83" s="12">
        <v>0.1</v>
      </c>
      <c r="C83" s="12">
        <v>1</v>
      </c>
      <c r="D83" s="1">
        <f t="shared" si="86"/>
        <v>-8.3568405964648473</v>
      </c>
      <c r="E83" s="1">
        <f t="shared" si="87"/>
        <v>5.4121286202991003E-4</v>
      </c>
      <c r="F83" s="1">
        <f t="shared" si="88"/>
        <v>1.9916437778325986</v>
      </c>
      <c r="G83" s="1">
        <f t="shared" si="89"/>
        <v>0.85723098927312313</v>
      </c>
      <c r="H83" s="1">
        <f t="shared" si="90"/>
        <v>1.5725637940905934E-2</v>
      </c>
      <c r="I83" s="1">
        <f t="shared" si="91"/>
        <v>1.5725637940905935E-3</v>
      </c>
      <c r="J83" s="1">
        <f t="shared" si="92"/>
        <v>8.510917517243842E-7</v>
      </c>
      <c r="K83" s="1">
        <f t="shared" si="93"/>
        <v>-9.7968058097868571</v>
      </c>
      <c r="L83" s="1">
        <f t="shared" si="94"/>
        <v>-4.7693589437994661E-3</v>
      </c>
      <c r="M83" s="1">
        <f t="shared" si="95"/>
        <v>-4.7693589437994662E-4</v>
      </c>
      <c r="N83" s="1">
        <f t="shared" si="96"/>
        <v>-4.2924230494195199E-4</v>
      </c>
      <c r="O83" s="1">
        <f t="shared" si="97"/>
        <v>-4.7693589437994662E-5</v>
      </c>
      <c r="P83" s="1">
        <f t="shared" si="98"/>
        <v>-13.614526798348898</v>
      </c>
      <c r="Q83" s="1">
        <f t="shared" si="99"/>
        <v>5.0983070862730431</v>
      </c>
      <c r="R83" s="1">
        <f t="shared" si="100"/>
        <v>6.683418009105389</v>
      </c>
      <c r="S83" s="1">
        <f t="shared" si="101"/>
        <v>1.9985270098552725</v>
      </c>
      <c r="T83" s="1">
        <f t="shared" si="102"/>
        <v>-9.8125305966360106</v>
      </c>
      <c r="U83" s="1"/>
    </row>
    <row r="84" spans="1:26">
      <c r="A84" s="3">
        <v>0.2</v>
      </c>
      <c r="B84" s="12">
        <v>0.8</v>
      </c>
      <c r="C84" s="12">
        <v>1</v>
      </c>
      <c r="D84" s="1">
        <f t="shared" si="86"/>
        <v>-7.2481309738099773</v>
      </c>
      <c r="E84" s="1">
        <f t="shared" si="87"/>
        <v>1.4666335792716406E-3</v>
      </c>
      <c r="F84" s="1">
        <f t="shared" si="88"/>
        <v>1.9841356229846159</v>
      </c>
      <c r="G84" s="1">
        <f t="shared" si="89"/>
        <v>0.85640198740175177</v>
      </c>
      <c r="H84" s="1">
        <f t="shared" si="90"/>
        <v>1.589340807977507E-2</v>
      </c>
      <c r="I84" s="1">
        <f t="shared" si="91"/>
        <v>1.589340807977507E-3</v>
      </c>
      <c r="J84" s="1">
        <f t="shared" si="92"/>
        <v>2.3309805978865322E-6</v>
      </c>
      <c r="K84" s="1">
        <f t="shared" si="93"/>
        <v>-9.796637188556236</v>
      </c>
      <c r="L84" s="1">
        <f t="shared" si="94"/>
        <v>-1.2912303924346748E-2</v>
      </c>
      <c r="M84" s="1">
        <f t="shared" si="95"/>
        <v>-1.291230392434675E-3</v>
      </c>
      <c r="N84" s="1">
        <f t="shared" si="96"/>
        <v>-2.58246078486935E-4</v>
      </c>
      <c r="O84" s="1">
        <f t="shared" si="97"/>
        <v>-1.03298431394774E-3</v>
      </c>
      <c r="P84" s="1">
        <f t="shared" si="98"/>
        <v>-13.615818028741332</v>
      </c>
      <c r="Q84" s="1">
        <f t="shared" si="99"/>
        <v>5.0980488401945561</v>
      </c>
      <c r="R84" s="1">
        <f t="shared" si="100"/>
        <v>6.6823850247914409</v>
      </c>
      <c r="S84" s="1">
        <f t="shared" si="101"/>
        <v>2.0001163506632502</v>
      </c>
      <c r="T84" s="1">
        <f t="shared" si="102"/>
        <v>-9.8125282656554127</v>
      </c>
      <c r="U84" s="1">
        <f>(((C81-G81)^2 + (C82-G82)^2 + (C83-G83)^2 + (C84-G84)^2 + (C85-G85)^2 + (C86-G86)^2 + (C87-G87)^2 + (C88-G88)^2 + (C89-G89)^2 + (C90-G90)^2)/4)</f>
        <v>0.65398840428574767</v>
      </c>
    </row>
    <row r="85" spans="1:26">
      <c r="A85" s="3">
        <v>0.6</v>
      </c>
      <c r="B85" s="12">
        <v>0.9</v>
      </c>
      <c r="C85" s="12">
        <v>0</v>
      </c>
      <c r="D85" s="1">
        <f t="shared" si="86"/>
        <v>-4.5428422023123023</v>
      </c>
      <c r="E85" s="1">
        <f t="shared" si="87"/>
        <v>1.6487011061678707E-2</v>
      </c>
      <c r="F85" s="1">
        <f t="shared" si="88"/>
        <v>1.8383370886043544</v>
      </c>
      <c r="G85" s="1">
        <f t="shared" si="89"/>
        <v>0.83949876656106137</v>
      </c>
      <c r="H85" s="1">
        <f t="shared" si="90"/>
        <v>-0.10180310131342449</v>
      </c>
      <c r="I85" s="1">
        <f t="shared" si="91"/>
        <v>-1.0180310131342449E-2</v>
      </c>
      <c r="J85" s="1">
        <f t="shared" si="92"/>
        <v>-1.6784288574676277E-4</v>
      </c>
      <c r="K85" s="1">
        <f t="shared" si="93"/>
        <v>-9.9143313669688364</v>
      </c>
      <c r="L85" s="1">
        <f t="shared" si="94"/>
        <v>-0.14468648594229797</v>
      </c>
      <c r="M85" s="1">
        <f t="shared" si="95"/>
        <v>-1.4468648594229798E-2</v>
      </c>
      <c r="N85" s="1">
        <f t="shared" si="96"/>
        <v>-8.6811891565378788E-3</v>
      </c>
      <c r="O85" s="1">
        <f t="shared" si="97"/>
        <v>-1.3021783734806818E-2</v>
      </c>
      <c r="P85" s="1">
        <f t="shared" si="98"/>
        <v>-13.630286677335562</v>
      </c>
      <c r="Q85" s="1">
        <f t="shared" si="99"/>
        <v>5.0893676510380184</v>
      </c>
      <c r="R85" s="1">
        <f t="shared" si="100"/>
        <v>6.6693632410566339</v>
      </c>
      <c r="S85" s="1">
        <f t="shared" si="101"/>
        <v>1.9899360405319078</v>
      </c>
      <c r="T85" s="1">
        <f t="shared" si="102"/>
        <v>-9.812696108541159</v>
      </c>
      <c r="U85" s="1"/>
    </row>
    <row r="86" spans="1:26">
      <c r="A86" s="3">
        <v>1</v>
      </c>
      <c r="B86" s="12">
        <v>1</v>
      </c>
      <c r="C86" s="12">
        <v>0</v>
      </c>
      <c r="D86" s="1">
        <f t="shared" si="86"/>
        <v>-1.8715557852409104</v>
      </c>
      <c r="E86" s="1">
        <f t="shared" si="87"/>
        <v>0.15651368774919763</v>
      </c>
      <c r="F86" s="1">
        <f t="shared" si="88"/>
        <v>0.4541147858219301</v>
      </c>
      <c r="G86" s="1">
        <f t="shared" si="89"/>
        <v>0.6007769155319671</v>
      </c>
      <c r="H86" s="1">
        <f t="shared" si="90"/>
        <v>-0.12968347186502691</v>
      </c>
      <c r="I86" s="1">
        <f t="shared" si="91"/>
        <v>-1.2968347186502692E-2</v>
      </c>
      <c r="J86" s="1">
        <f t="shared" si="92"/>
        <v>-2.0297238421714678E-3</v>
      </c>
      <c r="K86" s="1">
        <f t="shared" si="93"/>
        <v>-9.9423795804061861</v>
      </c>
      <c r="L86" s="1">
        <f t="shared" si="94"/>
        <v>-1.1813081842772344</v>
      </c>
      <c r="M86" s="1">
        <f t="shared" si="95"/>
        <v>-0.11813081842772344</v>
      </c>
      <c r="N86" s="1">
        <f t="shared" si="96"/>
        <v>-0.11813081842772344</v>
      </c>
      <c r="O86" s="1">
        <f t="shared" si="97"/>
        <v>-0.11813081842772344</v>
      </c>
      <c r="P86" s="1">
        <f t="shared" si="98"/>
        <v>-13.748417495763285</v>
      </c>
      <c r="Q86" s="1">
        <f t="shared" si="99"/>
        <v>4.9712368326102947</v>
      </c>
      <c r="R86" s="1">
        <f t="shared" si="100"/>
        <v>6.5512324226289103</v>
      </c>
      <c r="S86" s="1">
        <f t="shared" si="101"/>
        <v>1.976967693345405</v>
      </c>
      <c r="T86" s="1">
        <f t="shared" si="102"/>
        <v>-9.8147258323833313</v>
      </c>
      <c r="U86" s="1"/>
    </row>
    <row r="87" spans="1:26">
      <c r="A87" s="3">
        <v>0.3</v>
      </c>
      <c r="B87" s="12">
        <v>1.2</v>
      </c>
      <c r="C87" s="12">
        <v>0</v>
      </c>
      <c r="D87" s="1">
        <f t="shared" si="86"/>
        <v>-4.395567538825504</v>
      </c>
      <c r="E87" s="1">
        <f t="shared" si="87"/>
        <v>1.8779879055629559E-2</v>
      </c>
      <c r="F87" s="1">
        <f t="shared" si="88"/>
        <v>1.7926483292490829</v>
      </c>
      <c r="G87" s="1">
        <f t="shared" si="89"/>
        <v>0.83388061060972452</v>
      </c>
      <c r="H87" s="1">
        <f t="shared" si="90"/>
        <v>-0.10396103319873198</v>
      </c>
      <c r="I87" s="1">
        <f t="shared" si="91"/>
        <v>-1.0396103319873199E-2</v>
      </c>
      <c r="J87" s="1">
        <f t="shared" si="92"/>
        <v>-1.9523756299704762E-4</v>
      </c>
      <c r="K87" s="1">
        <f t="shared" si="93"/>
        <v>-9.9186868655820639</v>
      </c>
      <c r="L87" s="1">
        <f t="shared" si="94"/>
        <v>-0.16449622108447601</v>
      </c>
      <c r="M87" s="1">
        <f t="shared" si="95"/>
        <v>-1.6449622108447602E-2</v>
      </c>
      <c r="N87" s="1">
        <f t="shared" si="96"/>
        <v>-4.9348866325342805E-3</v>
      </c>
      <c r="O87" s="1">
        <f t="shared" si="97"/>
        <v>-1.9739546530137122E-2</v>
      </c>
      <c r="P87" s="1">
        <f t="shared" si="98"/>
        <v>-13.764867117871733</v>
      </c>
      <c r="Q87" s="1">
        <f t="shared" si="99"/>
        <v>4.9663019459777606</v>
      </c>
      <c r="R87" s="1">
        <f t="shared" si="100"/>
        <v>6.5314928760987732</v>
      </c>
      <c r="S87" s="1">
        <f t="shared" si="101"/>
        <v>1.9665715900255318</v>
      </c>
      <c r="T87" s="1">
        <f t="shared" si="102"/>
        <v>-9.8149210699463278</v>
      </c>
      <c r="U87" s="1"/>
    </row>
    <row r="88" spans="1:26">
      <c r="A88" s="3">
        <v>-0.1</v>
      </c>
      <c r="B88" s="12">
        <v>-0.1</v>
      </c>
      <c r="C88" s="12">
        <v>1</v>
      </c>
      <c r="D88" s="1">
        <f t="shared" si="86"/>
        <v>-14.914646600079386</v>
      </c>
      <c r="E88" s="1">
        <f t="shared" si="87"/>
        <v>1.4804219336799602E-6</v>
      </c>
      <c r="F88" s="1">
        <f t="shared" si="88"/>
        <v>1.9665570598011026</v>
      </c>
      <c r="G88" s="1">
        <f t="shared" si="89"/>
        <v>0.85444540301899208</v>
      </c>
      <c r="H88" s="1">
        <f t="shared" si="90"/>
        <v>1.6292160477717216E-2</v>
      </c>
      <c r="I88" s="1">
        <f t="shared" si="91"/>
        <v>1.6292160477717216E-3</v>
      </c>
      <c r="J88" s="1">
        <f t="shared" si="92"/>
        <v>2.4119271718246347E-9</v>
      </c>
      <c r="K88" s="1">
        <f t="shared" si="93"/>
        <v>-9.7986289094686114</v>
      </c>
      <c r="L88" s="1">
        <f t="shared" si="94"/>
        <v>-1.3055475314170472E-5</v>
      </c>
      <c r="M88" s="1">
        <f t="shared" si="95"/>
        <v>-1.3055475314170472E-6</v>
      </c>
      <c r="N88" s="1">
        <f t="shared" si="96"/>
        <v>1.3055475314170472E-7</v>
      </c>
      <c r="O88" s="1">
        <f t="shared" si="97"/>
        <v>1.3055475314170472E-7</v>
      </c>
      <c r="P88" s="1">
        <f t="shared" si="98"/>
        <v>-13.764868423419264</v>
      </c>
      <c r="Q88" s="1">
        <f t="shared" si="99"/>
        <v>4.9663020765325134</v>
      </c>
      <c r="R88" s="1">
        <f t="shared" si="100"/>
        <v>6.5314930066535259</v>
      </c>
      <c r="S88" s="1">
        <f t="shared" si="101"/>
        <v>1.9682008060733036</v>
      </c>
      <c r="T88" s="1">
        <f t="shared" si="102"/>
        <v>-9.8149210675344012</v>
      </c>
      <c r="U88" s="1"/>
    </row>
    <row r="89" spans="1:26">
      <c r="A89" s="3">
        <v>-0.5</v>
      </c>
      <c r="B89" s="12">
        <v>-0.5</v>
      </c>
      <c r="C89" s="12">
        <v>1</v>
      </c>
      <c r="D89" s="1">
        <f t="shared" si="86"/>
        <v>-19.513765965012283</v>
      </c>
      <c r="E89" s="1">
        <f t="shared" si="87"/>
        <v>2.3591263311929919E-8</v>
      </c>
      <c r="F89" s="1">
        <f t="shared" si="88"/>
        <v>1.9682005745269162</v>
      </c>
      <c r="G89" s="1">
        <f t="shared" si="89"/>
        <v>0.85462926783872872</v>
      </c>
      <c r="H89" s="1">
        <f t="shared" si="90"/>
        <v>1.6254522899695523E-2</v>
      </c>
      <c r="I89" s="1">
        <f t="shared" si="91"/>
        <v>1.6254522899695524E-3</v>
      </c>
      <c r="J89" s="1">
        <f t="shared" si="92"/>
        <v>3.8346472973651171E-11</v>
      </c>
      <c r="K89" s="1">
        <f t="shared" si="93"/>
        <v>-9.7986665446347061</v>
      </c>
      <c r="L89" s="1">
        <f t="shared" si="94"/>
        <v>-2.0804662539616546E-7</v>
      </c>
      <c r="M89" s="1">
        <f t="shared" si="95"/>
        <v>-2.0804662539616548E-8</v>
      </c>
      <c r="N89" s="1">
        <f t="shared" si="96"/>
        <v>1.0402331269808274E-8</v>
      </c>
      <c r="O89" s="1">
        <f t="shared" si="97"/>
        <v>1.0402331269808274E-8</v>
      </c>
      <c r="P89" s="1">
        <f t="shared" si="98"/>
        <v>-13.764868444223927</v>
      </c>
      <c r="Q89" s="1">
        <f t="shared" si="99"/>
        <v>4.9663020869348449</v>
      </c>
      <c r="R89" s="1">
        <f t="shared" si="100"/>
        <v>6.5314930170558574</v>
      </c>
      <c r="S89" s="1">
        <f t="shared" si="101"/>
        <v>1.9698262583632731</v>
      </c>
      <c r="T89" s="1">
        <f t="shared" si="102"/>
        <v>-9.814921067496055</v>
      </c>
      <c r="U89" s="1"/>
    </row>
    <row r="90" spans="1:26">
      <c r="A90" s="3">
        <v>-1</v>
      </c>
      <c r="B90" s="12">
        <v>-1</v>
      </c>
      <c r="C90" s="12">
        <v>0</v>
      </c>
      <c r="D90" s="1">
        <f t="shared" si="86"/>
        <v>-25.262663548214629</v>
      </c>
      <c r="E90" s="1">
        <f t="shared" si="87"/>
        <v>1.3356976457143488E-10</v>
      </c>
      <c r="F90" s="1">
        <f t="shared" si="88"/>
        <v>1.9698262570522964</v>
      </c>
      <c r="G90" s="1">
        <f t="shared" si="89"/>
        <v>0.85481094805073088</v>
      </c>
      <c r="H90" s="1">
        <f t="shared" si="90"/>
        <v>-9.5480905808744257E-2</v>
      </c>
      <c r="I90" s="1">
        <f t="shared" si="91"/>
        <v>-9.5480905808744271E-3</v>
      </c>
      <c r="J90" s="1">
        <f t="shared" si="92"/>
        <v>-1.2753362109941322E-12</v>
      </c>
      <c r="K90" s="1">
        <f t="shared" si="93"/>
        <v>-9.9104019733047988</v>
      </c>
      <c r="L90" s="1">
        <f t="shared" si="94"/>
        <v>-1.1913570523852158E-9</v>
      </c>
      <c r="M90" s="1">
        <f t="shared" si="95"/>
        <v>-1.191357052385216E-10</v>
      </c>
      <c r="N90" s="1">
        <f t="shared" si="96"/>
        <v>1.191357052385216E-10</v>
      </c>
      <c r="O90" s="1">
        <f t="shared" si="97"/>
        <v>1.191357052385216E-10</v>
      </c>
      <c r="P90" s="1">
        <f t="shared" si="98"/>
        <v>-13.764868444343062</v>
      </c>
      <c r="Q90" s="1">
        <f t="shared" si="99"/>
        <v>4.9663020870539807</v>
      </c>
      <c r="R90" s="1">
        <f t="shared" si="100"/>
        <v>6.5314930171749932</v>
      </c>
      <c r="S90" s="1">
        <f t="shared" si="101"/>
        <v>1.9602781677823986</v>
      </c>
      <c r="T90" s="1">
        <f t="shared" si="102"/>
        <v>-9.8149210674973304</v>
      </c>
      <c r="U90" s="1"/>
    </row>
    <row r="93" spans="1:26">
      <c r="A93" s="29" t="s">
        <v>0</v>
      </c>
      <c r="B93" s="29"/>
      <c r="C93" s="29"/>
      <c r="D93" s="29" t="s">
        <v>1</v>
      </c>
      <c r="E93" s="29"/>
      <c r="F93" s="30" t="s">
        <v>2</v>
      </c>
      <c r="G93" s="30"/>
      <c r="H93" s="29" t="s">
        <v>7</v>
      </c>
      <c r="I93" s="29"/>
      <c r="J93" s="29"/>
      <c r="K93" s="29" t="s">
        <v>11</v>
      </c>
      <c r="L93" s="29"/>
      <c r="M93" s="29"/>
      <c r="N93" s="29"/>
      <c r="O93" s="29"/>
      <c r="P93" s="29" t="s">
        <v>17</v>
      </c>
      <c r="Q93" s="29"/>
      <c r="R93" s="29"/>
      <c r="S93" s="29"/>
      <c r="T93" s="29"/>
      <c r="U93" s="4" t="s">
        <v>23</v>
      </c>
    </row>
    <row r="94" spans="1:26">
      <c r="A94" s="2" t="s">
        <v>25</v>
      </c>
      <c r="B94" s="2" t="s">
        <v>26</v>
      </c>
      <c r="C94" s="2" t="s">
        <v>27</v>
      </c>
      <c r="D94" s="2" t="s">
        <v>3</v>
      </c>
      <c r="E94" s="2" t="s">
        <v>4</v>
      </c>
      <c r="F94" s="2" t="s">
        <v>5</v>
      </c>
      <c r="G94" s="2" t="s">
        <v>6</v>
      </c>
      <c r="H94" s="2" t="s">
        <v>8</v>
      </c>
      <c r="I94" s="2" t="s">
        <v>9</v>
      </c>
      <c r="J94" s="2" t="s">
        <v>10</v>
      </c>
      <c r="K94" s="2" t="s">
        <v>12</v>
      </c>
      <c r="L94" s="2" t="s">
        <v>13</v>
      </c>
      <c r="M94" s="2" t="s">
        <v>14</v>
      </c>
      <c r="N94" s="2" t="s">
        <v>15</v>
      </c>
      <c r="O94" s="2" t="s">
        <v>16</v>
      </c>
      <c r="P94" s="2" t="s">
        <v>18</v>
      </c>
      <c r="Q94" s="2" t="s">
        <v>19</v>
      </c>
      <c r="R94" s="2" t="s">
        <v>20</v>
      </c>
      <c r="S94" s="2" t="s">
        <v>21</v>
      </c>
      <c r="T94" s="2" t="s">
        <v>22</v>
      </c>
      <c r="U94" s="2" t="s">
        <v>24</v>
      </c>
      <c r="W94" s="31" t="s">
        <v>41</v>
      </c>
      <c r="X94" s="32"/>
      <c r="Y94" s="32"/>
      <c r="Z94" s="32"/>
    </row>
    <row r="95" spans="1:26">
      <c r="A95" s="5"/>
      <c r="B95" s="5"/>
      <c r="C95" s="5"/>
      <c r="D95" s="6"/>
      <c r="E95" s="6"/>
      <c r="F95" s="6"/>
      <c r="G95" s="6"/>
      <c r="H95" s="6"/>
      <c r="I95" s="6"/>
      <c r="J95" s="6"/>
      <c r="K95" s="6"/>
      <c r="L95" s="6"/>
      <c r="M95" s="6"/>
      <c r="N95" s="6"/>
      <c r="O95" s="6"/>
      <c r="P95" s="19">
        <f>P90</f>
        <v>-13.764868444343062</v>
      </c>
      <c r="Q95" s="22">
        <f>Q90</f>
        <v>4.9663020870539807</v>
      </c>
      <c r="R95" s="22">
        <f>R90</f>
        <v>6.5314930171749932</v>
      </c>
      <c r="S95" s="22">
        <f>S90</f>
        <v>1.9602781677823986</v>
      </c>
      <c r="T95" s="22">
        <f>T90</f>
        <v>-9.8149210674973304</v>
      </c>
      <c r="U95" s="1"/>
      <c r="W95" s="32"/>
      <c r="X95" s="32"/>
      <c r="Y95" s="32"/>
      <c r="Z95" s="32"/>
    </row>
    <row r="96" spans="1:26">
      <c r="A96" s="3">
        <v>0.1</v>
      </c>
      <c r="B96" s="12">
        <v>0.1</v>
      </c>
      <c r="C96" s="12">
        <v>1</v>
      </c>
      <c r="D96" s="1">
        <f>P95+(Q95*A96)+(R95*B96)</f>
        <v>-12.615088933920164</v>
      </c>
      <c r="E96" s="1">
        <f>1/(1+EXP(-$B$15*D96))</f>
        <v>1.172729217711001E-5</v>
      </c>
      <c r="F96" s="1">
        <f>S95+(T95*E96)</f>
        <v>1.9601630653353448</v>
      </c>
      <c r="G96" s="1">
        <f>1/(1+EXP(-$B$15*F96))</f>
        <v>0.85372825213369508</v>
      </c>
      <c r="H96" s="1">
        <f>(C96-G96)*$B$15*G96*(1-G96)</f>
        <v>1.6439290313668406E-2</v>
      </c>
      <c r="I96" s="1">
        <f>$B$16*H96</f>
        <v>1.6439290313668407E-3</v>
      </c>
      <c r="J96" s="1">
        <f>$B$16*H96*E96</f>
        <v>1.9278836069272387E-8</v>
      </c>
      <c r="K96" s="1">
        <f>H96+T95</f>
        <v>-9.7984817771836621</v>
      </c>
      <c r="L96" s="1">
        <f>K96*$B$15*E96*(1-E96)</f>
        <v>-1.0341748000258154E-4</v>
      </c>
      <c r="M96" s="1">
        <f>$B$16*L96</f>
        <v>-1.0341748000258155E-5</v>
      </c>
      <c r="N96" s="1">
        <f>$B$16*L96*A96</f>
        <v>-1.0341748000258155E-6</v>
      </c>
      <c r="O96" s="1">
        <f>$B$16*L96*B96</f>
        <v>-1.0341748000258155E-6</v>
      </c>
      <c r="P96" s="24">
        <f>P95+M96</f>
        <v>-13.764878786091062</v>
      </c>
      <c r="Q96" s="1">
        <f>Q95+N96</f>
        <v>4.9663010528791807</v>
      </c>
      <c r="R96" s="1">
        <f>R95+O96</f>
        <v>6.5314919830001932</v>
      </c>
      <c r="S96" s="1">
        <f>S95+I96</f>
        <v>1.9619220968137654</v>
      </c>
      <c r="T96" s="1">
        <f>T95+J96</f>
        <v>-9.8149210482184941</v>
      </c>
      <c r="U96" s="1"/>
      <c r="W96" s="32"/>
      <c r="X96" s="32"/>
      <c r="Y96" s="32"/>
      <c r="Z96" s="32"/>
    </row>
    <row r="97" spans="1:26">
      <c r="A97" s="3">
        <v>0.5</v>
      </c>
      <c r="B97" s="12">
        <v>0.5</v>
      </c>
      <c r="C97" s="12">
        <v>1</v>
      </c>
      <c r="D97" s="1">
        <f t="shared" ref="D97:D105" si="103">P96+(Q96*A97)+(R96*B97)</f>
        <v>-8.0159822681513742</v>
      </c>
      <c r="E97" s="1">
        <f t="shared" ref="E97:E105" si="104">1/(1+EXP(-$B$15*D97))</f>
        <v>7.353825673048585E-4</v>
      </c>
      <c r="F97" s="1">
        <f t="shared" ref="F97:F105" si="105">S96+(T96*E97)</f>
        <v>1.954704374975432</v>
      </c>
      <c r="G97" s="1">
        <f t="shared" ref="G97:G105" si="106">1/(1+EXP(-$B$15*F97))</f>
        <v>0.85311369031633011</v>
      </c>
      <c r="H97" s="1">
        <f t="shared" ref="H97:H105" si="107">(C97-G97)*$B$15*G97*(1-G97)</f>
        <v>1.656578652835769E-2</v>
      </c>
      <c r="I97" s="1">
        <f t="shared" ref="I97:I105" si="108">$B$16*H97</f>
        <v>1.6565786528357691E-3</v>
      </c>
      <c r="J97" s="1">
        <f t="shared" ref="J97:J105" si="109">$B$16*H97*E97</f>
        <v>1.2182190626647918E-6</v>
      </c>
      <c r="K97" s="1">
        <f t="shared" ref="K97:K105" si="110">H97+T96</f>
        <v>-9.798355261690137</v>
      </c>
      <c r="L97" s="1">
        <f t="shared" ref="L97:L105" si="111">K97*$B$15*E97*(1-E97)</f>
        <v>-6.4802167375156332E-3</v>
      </c>
      <c r="M97" s="1">
        <f t="shared" ref="M97:M105" si="112">$B$16*L97</f>
        <v>-6.4802167375156336E-4</v>
      </c>
      <c r="N97" s="1">
        <f t="shared" ref="N97:N105" si="113">$B$16*L97*A97</f>
        <v>-3.2401083687578168E-4</v>
      </c>
      <c r="O97" s="1">
        <f t="shared" ref="O97:O105" si="114">$B$16*L97*B97</f>
        <v>-3.2401083687578168E-4</v>
      </c>
      <c r="P97" s="1">
        <f t="shared" ref="P97:P105" si="115">P96+M97</f>
        <v>-13.765526807764813</v>
      </c>
      <c r="Q97" s="1">
        <f t="shared" ref="Q97:Q105" si="116">Q96+N97</f>
        <v>4.9659770420423053</v>
      </c>
      <c r="R97" s="1">
        <f t="shared" ref="R97:R105" si="117">R96+O97</f>
        <v>6.5311679721633178</v>
      </c>
      <c r="S97" s="1">
        <f t="shared" ref="S97:S105" si="118">S96+I97</f>
        <v>1.9635786754666011</v>
      </c>
      <c r="T97" s="1">
        <f t="shared" ref="T97:T105" si="119">T96+J97</f>
        <v>-9.8149198299994307</v>
      </c>
      <c r="U97" s="1"/>
    </row>
    <row r="98" spans="1:26">
      <c r="A98" s="3">
        <v>0.9</v>
      </c>
      <c r="B98" s="12">
        <v>0.1</v>
      </c>
      <c r="C98" s="12">
        <v>1</v>
      </c>
      <c r="D98" s="1">
        <f t="shared" si="103"/>
        <v>-8.643030672710406</v>
      </c>
      <c r="E98" s="1">
        <f t="shared" si="104"/>
        <v>4.1836928343381855E-4</v>
      </c>
      <c r="F98" s="1">
        <f t="shared" si="105"/>
        <v>1.9594724144903639</v>
      </c>
      <c r="G98" s="1">
        <f t="shared" si="106"/>
        <v>0.85365061372104956</v>
      </c>
      <c r="H98" s="1">
        <f t="shared" si="107"/>
        <v>1.6455249720730057E-2</v>
      </c>
      <c r="I98" s="1">
        <f t="shared" si="108"/>
        <v>1.6455249720730058E-3</v>
      </c>
      <c r="J98" s="1">
        <f t="shared" si="109"/>
        <v>6.8843710343863777E-7</v>
      </c>
      <c r="K98" s="1">
        <f t="shared" si="110"/>
        <v>-9.7984645802787007</v>
      </c>
      <c r="L98" s="1">
        <f t="shared" si="111"/>
        <v>-3.6878953967550065E-3</v>
      </c>
      <c r="M98" s="1">
        <f t="shared" si="112"/>
        <v>-3.6878953967550069E-4</v>
      </c>
      <c r="N98" s="1">
        <f t="shared" si="113"/>
        <v>-3.3191058570795066E-4</v>
      </c>
      <c r="O98" s="1">
        <f t="shared" si="114"/>
        <v>-3.6878953967550071E-5</v>
      </c>
      <c r="P98" s="1">
        <f t="shared" si="115"/>
        <v>-13.765895597304489</v>
      </c>
      <c r="Q98" s="1">
        <f t="shared" si="116"/>
        <v>4.965645131456597</v>
      </c>
      <c r="R98" s="1">
        <f t="shared" si="117"/>
        <v>6.5311310932093498</v>
      </c>
      <c r="S98" s="1">
        <f t="shared" si="118"/>
        <v>1.9652242004386742</v>
      </c>
      <c r="T98" s="1">
        <f t="shared" si="119"/>
        <v>-9.8149191415623278</v>
      </c>
      <c r="U98" s="1"/>
    </row>
    <row r="99" spans="1:26">
      <c r="A99" s="3">
        <v>0.2</v>
      </c>
      <c r="B99" s="12">
        <v>0.8</v>
      </c>
      <c r="C99" s="12">
        <v>1</v>
      </c>
      <c r="D99" s="1">
        <f t="shared" si="103"/>
        <v>-7.5478616964456897</v>
      </c>
      <c r="E99" s="1">
        <f t="shared" si="104"/>
        <v>1.1202578324866791E-3</v>
      </c>
      <c r="F99" s="1">
        <f t="shared" si="105"/>
        <v>1.9542289603951155</v>
      </c>
      <c r="G99" s="1">
        <f t="shared" si="106"/>
        <v>0.85306006512527854</v>
      </c>
      <c r="H99" s="1">
        <f t="shared" si="107"/>
        <v>1.6576842340828998E-2</v>
      </c>
      <c r="I99" s="1">
        <f t="shared" si="108"/>
        <v>1.6576842340829E-3</v>
      </c>
      <c r="J99" s="1">
        <f t="shared" si="109"/>
        <v>1.8570337470210503E-6</v>
      </c>
      <c r="K99" s="1">
        <f t="shared" si="110"/>
        <v>-9.798342299221499</v>
      </c>
      <c r="L99" s="1">
        <f t="shared" si="111"/>
        <v>-9.8679357052880012E-3</v>
      </c>
      <c r="M99" s="1">
        <f t="shared" si="112"/>
        <v>-9.8679357052880012E-4</v>
      </c>
      <c r="N99" s="1">
        <f t="shared" si="113"/>
        <v>-1.9735871410576003E-4</v>
      </c>
      <c r="O99" s="1">
        <f t="shared" si="114"/>
        <v>-7.8943485642304011E-4</v>
      </c>
      <c r="P99" s="1">
        <f t="shared" si="115"/>
        <v>-13.766882390875018</v>
      </c>
      <c r="Q99" s="1">
        <f t="shared" si="116"/>
        <v>4.9654477727424915</v>
      </c>
      <c r="R99" s="1">
        <f t="shared" si="117"/>
        <v>6.5303416583529268</v>
      </c>
      <c r="S99" s="1">
        <f t="shared" si="118"/>
        <v>1.9668818846727572</v>
      </c>
      <c r="T99" s="1">
        <f t="shared" si="119"/>
        <v>-9.8149172845285815</v>
      </c>
      <c r="U99" s="1">
        <f>(((C96-G96)^2 + (C97-G97)^2 + (C98-G98)^2 + (C99-G99)^2 + (C100-G100)^2 + (C101-G101)^2 + (C102-G102)^2 + (C103-G103)^2 + (C104-G104)^2 + (C105-G105)^2)/4)</f>
        <v>0.68150725528366818</v>
      </c>
    </row>
    <row r="100" spans="1:26">
      <c r="A100" s="3">
        <v>0.6</v>
      </c>
      <c r="B100" s="12">
        <v>0.9</v>
      </c>
      <c r="C100" s="12">
        <v>0</v>
      </c>
      <c r="D100" s="1">
        <f t="shared" si="103"/>
        <v>-4.9103062347118893</v>
      </c>
      <c r="E100" s="1">
        <f t="shared" si="104"/>
        <v>1.1899646028779454E-2</v>
      </c>
      <c r="F100" s="1">
        <f t="shared" si="105"/>
        <v>1.8500878431851178</v>
      </c>
      <c r="G100" s="1">
        <f t="shared" si="106"/>
        <v>0.84091862863022671</v>
      </c>
      <c r="H100" s="1">
        <f t="shared" si="107"/>
        <v>-0.10124411358932493</v>
      </c>
      <c r="I100" s="1">
        <f t="shared" si="108"/>
        <v>-1.0124411358932495E-2</v>
      </c>
      <c r="J100" s="1">
        <f t="shared" si="109"/>
        <v>-1.2047691142105065E-4</v>
      </c>
      <c r="K100" s="1">
        <f t="shared" si="110"/>
        <v>-9.9161613981179055</v>
      </c>
      <c r="L100" s="1">
        <f t="shared" si="111"/>
        <v>-0.10493519987148377</v>
      </c>
      <c r="M100" s="1">
        <f t="shared" si="112"/>
        <v>-1.0493519987148377E-2</v>
      </c>
      <c r="N100" s="1">
        <f t="shared" si="113"/>
        <v>-6.2961119922890262E-3</v>
      </c>
      <c r="O100" s="1">
        <f t="shared" si="114"/>
        <v>-9.4441679884335397E-3</v>
      </c>
      <c r="P100" s="1">
        <f t="shared" si="115"/>
        <v>-13.777375910862167</v>
      </c>
      <c r="Q100" s="1">
        <f t="shared" si="116"/>
        <v>4.9591516607502024</v>
      </c>
      <c r="R100" s="1">
        <f t="shared" si="117"/>
        <v>6.5208974903644936</v>
      </c>
      <c r="S100" s="1">
        <f t="shared" si="118"/>
        <v>1.9567574733138247</v>
      </c>
      <c r="T100" s="1">
        <f t="shared" si="119"/>
        <v>-9.8150377614400028</v>
      </c>
      <c r="U100" s="1"/>
    </row>
    <row r="101" spans="1:26">
      <c r="A101" s="3">
        <v>1</v>
      </c>
      <c r="B101" s="12">
        <v>1</v>
      </c>
      <c r="C101" s="12">
        <v>0</v>
      </c>
      <c r="D101" s="1">
        <f t="shared" si="103"/>
        <v>-2.2973267597474702</v>
      </c>
      <c r="E101" s="1">
        <f t="shared" si="104"/>
        <v>0.11228663269388893</v>
      </c>
      <c r="F101" s="1">
        <f t="shared" si="105"/>
        <v>0.85465993331836132</v>
      </c>
      <c r="G101" s="1">
        <f t="shared" si="106"/>
        <v>0.68334650098017857</v>
      </c>
      <c r="H101" s="1">
        <f t="shared" si="107"/>
        <v>-0.13307876159767346</v>
      </c>
      <c r="I101" s="1">
        <f t="shared" si="108"/>
        <v>-1.3307876159767347E-2</v>
      </c>
      <c r="J101" s="1">
        <f t="shared" si="109"/>
        <v>-1.4942966022875573E-3</v>
      </c>
      <c r="K101" s="1">
        <f t="shared" si="110"/>
        <v>-9.948116523037676</v>
      </c>
      <c r="L101" s="1">
        <f t="shared" si="111"/>
        <v>-0.89245061011337579</v>
      </c>
      <c r="M101" s="1">
        <f t="shared" si="112"/>
        <v>-8.9245061011337584E-2</v>
      </c>
      <c r="N101" s="1">
        <f t="shared" si="113"/>
        <v>-8.9245061011337584E-2</v>
      </c>
      <c r="O101" s="1">
        <f t="shared" si="114"/>
        <v>-8.9245061011337584E-2</v>
      </c>
      <c r="P101" s="1">
        <f t="shared" si="115"/>
        <v>-13.866620971873505</v>
      </c>
      <c r="Q101" s="1">
        <f t="shared" si="116"/>
        <v>4.8699065997388651</v>
      </c>
      <c r="R101" s="1">
        <f t="shared" si="117"/>
        <v>6.4316524293531563</v>
      </c>
      <c r="S101" s="1">
        <f t="shared" si="118"/>
        <v>1.9434495971540573</v>
      </c>
      <c r="T101" s="1">
        <f t="shared" si="119"/>
        <v>-9.8165320580422897</v>
      </c>
      <c r="U101" s="1"/>
    </row>
    <row r="102" spans="1:26">
      <c r="A102" s="3">
        <v>0.3</v>
      </c>
      <c r="B102" s="12">
        <v>1.2</v>
      </c>
      <c r="C102" s="12">
        <v>0</v>
      </c>
      <c r="D102" s="1">
        <f t="shared" si="103"/>
        <v>-4.6876660767280587</v>
      </c>
      <c r="E102" s="1">
        <f t="shared" si="104"/>
        <v>1.4501443451438887E-2</v>
      </c>
      <c r="F102" s="1">
        <f t="shared" si="105"/>
        <v>1.8010957126251199</v>
      </c>
      <c r="G102" s="1">
        <f t="shared" si="106"/>
        <v>0.83493108585734666</v>
      </c>
      <c r="H102" s="1">
        <f t="shared" si="107"/>
        <v>-0.10356405950155163</v>
      </c>
      <c r="I102" s="1">
        <f t="shared" si="108"/>
        <v>-1.0356405950155164E-2</v>
      </c>
      <c r="J102" s="1">
        <f t="shared" si="109"/>
        <v>-1.5018283524632033E-4</v>
      </c>
      <c r="K102" s="1">
        <f t="shared" si="110"/>
        <v>-9.9200961175438405</v>
      </c>
      <c r="L102" s="1">
        <f t="shared" si="111"/>
        <v>-0.12759263765629597</v>
      </c>
      <c r="M102" s="1">
        <f t="shared" si="112"/>
        <v>-1.2759263765629598E-2</v>
      </c>
      <c r="N102" s="1">
        <f t="shared" si="113"/>
        <v>-3.8277791296888793E-3</v>
      </c>
      <c r="O102" s="1">
        <f t="shared" si="114"/>
        <v>-1.5311116518755517E-2</v>
      </c>
      <c r="P102" s="1">
        <f t="shared" si="115"/>
        <v>-13.879380235639134</v>
      </c>
      <c r="Q102" s="1">
        <f t="shared" si="116"/>
        <v>4.8660788206091761</v>
      </c>
      <c r="R102" s="1">
        <f t="shared" si="117"/>
        <v>6.4163413128344011</v>
      </c>
      <c r="S102" s="1">
        <f t="shared" si="118"/>
        <v>1.9330931912039022</v>
      </c>
      <c r="T102" s="1">
        <f t="shared" si="119"/>
        <v>-9.8166822408775367</v>
      </c>
      <c r="U102" s="1"/>
    </row>
    <row r="103" spans="1:26">
      <c r="A103" s="3">
        <v>-0.1</v>
      </c>
      <c r="B103" s="12">
        <v>-0.1</v>
      </c>
      <c r="C103" s="12">
        <v>1</v>
      </c>
      <c r="D103" s="1">
        <f t="shared" si="103"/>
        <v>-15.007622248983493</v>
      </c>
      <c r="E103" s="1">
        <f t="shared" si="104"/>
        <v>1.3615846050975727E-6</v>
      </c>
      <c r="F103" s="1">
        <f t="shared" si="105"/>
        <v>1.9330798249604899</v>
      </c>
      <c r="G103" s="1">
        <f t="shared" si="106"/>
        <v>0.85065808290366696</v>
      </c>
      <c r="H103" s="1">
        <f t="shared" si="107"/>
        <v>1.7075010780094407E-2</v>
      </c>
      <c r="I103" s="1">
        <f t="shared" si="108"/>
        <v>1.7075010780094409E-3</v>
      </c>
      <c r="J103" s="1">
        <f t="shared" si="109"/>
        <v>2.3249071810051641E-9</v>
      </c>
      <c r="K103" s="1">
        <f t="shared" si="110"/>
        <v>-9.7996072300974415</v>
      </c>
      <c r="L103" s="1">
        <f t="shared" si="111"/>
        <v>-1.2008678555599075E-5</v>
      </c>
      <c r="M103" s="1">
        <f t="shared" si="112"/>
        <v>-1.2008678555599076E-6</v>
      </c>
      <c r="N103" s="1">
        <f t="shared" si="113"/>
        <v>1.2008678555599076E-7</v>
      </c>
      <c r="O103" s="1">
        <f t="shared" si="114"/>
        <v>1.2008678555599076E-7</v>
      </c>
      <c r="P103" s="1">
        <f t="shared" si="115"/>
        <v>-13.879381436506989</v>
      </c>
      <c r="Q103" s="1">
        <f t="shared" si="116"/>
        <v>4.8660789406959619</v>
      </c>
      <c r="R103" s="1">
        <f t="shared" si="117"/>
        <v>6.416341432921187</v>
      </c>
      <c r="S103" s="1">
        <f t="shared" si="118"/>
        <v>1.9348006922819116</v>
      </c>
      <c r="T103" s="1">
        <f t="shared" si="119"/>
        <v>-9.8166822385526302</v>
      </c>
      <c r="U103" s="1"/>
    </row>
    <row r="104" spans="1:26">
      <c r="A104" s="3">
        <v>-0.5</v>
      </c>
      <c r="B104" s="12">
        <v>-0.5</v>
      </c>
      <c r="C104" s="12">
        <v>1</v>
      </c>
      <c r="D104" s="1">
        <f t="shared" si="103"/>
        <v>-19.520591623315564</v>
      </c>
      <c r="E104" s="1">
        <f t="shared" si="104"/>
        <v>2.3446784231781148E-8</v>
      </c>
      <c r="F104" s="1">
        <f t="shared" si="105"/>
        <v>1.9348004621122814</v>
      </c>
      <c r="G104" s="1">
        <f t="shared" si="106"/>
        <v>0.85085470517431938</v>
      </c>
      <c r="H104" s="1">
        <f t="shared" si="107"/>
        <v>1.703401511207852E-2</v>
      </c>
      <c r="I104" s="1">
        <f t="shared" si="108"/>
        <v>1.7034015112078521E-3</v>
      </c>
      <c r="J104" s="1">
        <f t="shared" si="109"/>
        <v>3.9939287693380447E-11</v>
      </c>
      <c r="K104" s="1">
        <f t="shared" si="110"/>
        <v>-9.7996482234405509</v>
      </c>
      <c r="L104" s="1">
        <f t="shared" si="111"/>
        <v>-2.0679320884949541E-7</v>
      </c>
      <c r="M104" s="1">
        <f t="shared" si="112"/>
        <v>-2.0679320884949542E-8</v>
      </c>
      <c r="N104" s="1">
        <f t="shared" si="113"/>
        <v>1.0339660442474771E-8</v>
      </c>
      <c r="O104" s="1">
        <f t="shared" si="114"/>
        <v>1.0339660442474771E-8</v>
      </c>
      <c r="P104" s="1">
        <f t="shared" si="115"/>
        <v>-13.879381457186311</v>
      </c>
      <c r="Q104" s="1">
        <f t="shared" si="116"/>
        <v>4.8660789510356226</v>
      </c>
      <c r="R104" s="1">
        <f t="shared" si="117"/>
        <v>6.4163414432608477</v>
      </c>
      <c r="S104" s="1">
        <f t="shared" si="118"/>
        <v>1.9365040937931195</v>
      </c>
      <c r="T104" s="1">
        <f t="shared" si="119"/>
        <v>-9.8166822385126906</v>
      </c>
      <c r="U104" s="1"/>
    </row>
    <row r="105" spans="1:26">
      <c r="A105" s="3">
        <v>-1</v>
      </c>
      <c r="B105" s="12">
        <v>-1</v>
      </c>
      <c r="C105" s="12">
        <v>0</v>
      </c>
      <c r="D105" s="1">
        <f t="shared" si="103"/>
        <v>-25.161801851482782</v>
      </c>
      <c r="E105" s="1">
        <f t="shared" si="104"/>
        <v>1.462619876291297E-10</v>
      </c>
      <c r="F105" s="1">
        <f t="shared" si="105"/>
        <v>1.936504092357312</v>
      </c>
      <c r="G105" s="1">
        <f t="shared" si="106"/>
        <v>0.85104917362766974</v>
      </c>
      <c r="H105" s="1">
        <f t="shared" si="107"/>
        <v>-9.7094523589158543E-2</v>
      </c>
      <c r="I105" s="1">
        <f t="shared" si="108"/>
        <v>-9.7094523589158557E-3</v>
      </c>
      <c r="J105" s="1">
        <f t="shared" si="109"/>
        <v>-1.420123800805375E-12</v>
      </c>
      <c r="K105" s="1">
        <f t="shared" si="110"/>
        <v>-9.9137767621018487</v>
      </c>
      <c r="L105" s="1">
        <f t="shared" si="111"/>
        <v>-1.3050078245319716E-9</v>
      </c>
      <c r="M105" s="1">
        <f t="shared" si="112"/>
        <v>-1.3050078245319718E-10</v>
      </c>
      <c r="N105" s="1">
        <f t="shared" si="113"/>
        <v>1.3050078245319718E-10</v>
      </c>
      <c r="O105" s="1">
        <f t="shared" si="114"/>
        <v>1.3050078245319718E-10</v>
      </c>
      <c r="P105" s="1">
        <f t="shared" si="115"/>
        <v>-13.879381457316811</v>
      </c>
      <c r="Q105" s="1">
        <f t="shared" si="116"/>
        <v>4.8660789511661235</v>
      </c>
      <c r="R105" s="1">
        <f t="shared" si="117"/>
        <v>6.4163414433913486</v>
      </c>
      <c r="S105" s="1">
        <f t="shared" si="118"/>
        <v>1.9267946414342036</v>
      </c>
      <c r="T105" s="1">
        <f t="shared" si="119"/>
        <v>-9.8166822385141099</v>
      </c>
      <c r="U105" s="1"/>
    </row>
    <row r="108" spans="1:26">
      <c r="A108" s="29" t="s">
        <v>0</v>
      </c>
      <c r="B108" s="29"/>
      <c r="C108" s="29"/>
      <c r="D108" s="29" t="s">
        <v>1</v>
      </c>
      <c r="E108" s="29"/>
      <c r="F108" s="30" t="s">
        <v>2</v>
      </c>
      <c r="G108" s="30"/>
      <c r="H108" s="29" t="s">
        <v>7</v>
      </c>
      <c r="I108" s="29"/>
      <c r="J108" s="29"/>
      <c r="K108" s="29" t="s">
        <v>11</v>
      </c>
      <c r="L108" s="29"/>
      <c r="M108" s="29"/>
      <c r="N108" s="29"/>
      <c r="O108" s="29"/>
      <c r="P108" s="29" t="s">
        <v>17</v>
      </c>
      <c r="Q108" s="29"/>
      <c r="R108" s="29"/>
      <c r="S108" s="29"/>
      <c r="T108" s="29"/>
      <c r="U108" s="4" t="s">
        <v>23</v>
      </c>
    </row>
    <row r="109" spans="1:26">
      <c r="A109" s="2" t="s">
        <v>25</v>
      </c>
      <c r="B109" s="2" t="s">
        <v>26</v>
      </c>
      <c r="C109" s="2" t="s">
        <v>27</v>
      </c>
      <c r="D109" s="2" t="s">
        <v>3</v>
      </c>
      <c r="E109" s="2" t="s">
        <v>4</v>
      </c>
      <c r="F109" s="2" t="s">
        <v>5</v>
      </c>
      <c r="G109" s="2" t="s">
        <v>6</v>
      </c>
      <c r="H109" s="2" t="s">
        <v>8</v>
      </c>
      <c r="I109" s="2" t="s">
        <v>9</v>
      </c>
      <c r="J109" s="2" t="s">
        <v>10</v>
      </c>
      <c r="K109" s="2" t="s">
        <v>12</v>
      </c>
      <c r="L109" s="2" t="s">
        <v>13</v>
      </c>
      <c r="M109" s="2" t="s">
        <v>14</v>
      </c>
      <c r="N109" s="2" t="s">
        <v>15</v>
      </c>
      <c r="O109" s="2" t="s">
        <v>16</v>
      </c>
      <c r="P109" s="2" t="s">
        <v>18</v>
      </c>
      <c r="Q109" s="2" t="s">
        <v>19</v>
      </c>
      <c r="R109" s="2" t="s">
        <v>20</v>
      </c>
      <c r="S109" s="2" t="s">
        <v>21</v>
      </c>
      <c r="T109" s="2" t="s">
        <v>22</v>
      </c>
      <c r="U109" s="2" t="s">
        <v>24</v>
      </c>
    </row>
    <row r="110" spans="1:26">
      <c r="A110" s="5"/>
      <c r="B110" s="5"/>
      <c r="C110" s="5"/>
      <c r="D110" s="6"/>
      <c r="E110" s="6"/>
      <c r="F110" s="6"/>
      <c r="G110" s="6"/>
      <c r="H110" s="6"/>
      <c r="I110" s="6"/>
      <c r="J110" s="6"/>
      <c r="K110" s="6"/>
      <c r="L110" s="6"/>
      <c r="M110" s="6"/>
      <c r="N110" s="6"/>
      <c r="O110" s="6"/>
      <c r="P110" s="19">
        <f>P105</f>
        <v>-13.879381457316811</v>
      </c>
      <c r="Q110" s="22">
        <f>Q105</f>
        <v>4.8660789511661235</v>
      </c>
      <c r="R110" s="22">
        <f>R105</f>
        <v>6.4163414433913486</v>
      </c>
      <c r="S110" s="22">
        <f>S105</f>
        <v>1.9267946414342036</v>
      </c>
      <c r="T110" s="22">
        <f>T105</f>
        <v>-9.8166822385141099</v>
      </c>
      <c r="U110" s="1"/>
      <c r="W110" s="31" t="s">
        <v>42</v>
      </c>
      <c r="X110" s="32"/>
      <c r="Y110" s="32"/>
      <c r="Z110" s="32"/>
    </row>
    <row r="111" spans="1:26">
      <c r="A111" s="3">
        <v>0.1</v>
      </c>
      <c r="B111" s="12">
        <v>0.1</v>
      </c>
      <c r="C111" s="12">
        <v>1</v>
      </c>
      <c r="D111" s="1">
        <f>P110+(Q110*A111)+(R110*B111)</f>
        <v>-12.751139417861063</v>
      </c>
      <c r="E111" s="1">
        <f>1/(1+EXP(-$B$15*D111))</f>
        <v>1.0375784793995054E-5</v>
      </c>
      <c r="F111" s="1">
        <f>S110+(T110*E111)</f>
        <v>1.9266927856519058</v>
      </c>
      <c r="G111" s="1">
        <f>1/(1+EXP(-$B$15*F111))</f>
        <v>0.84992634770540487</v>
      </c>
      <c r="H111" s="1">
        <f>(C111-G111)*$B$15*G111*(1-G111)</f>
        <v>1.7227914427491393E-2</v>
      </c>
      <c r="I111" s="1">
        <f>$B$16*H111</f>
        <v>1.7227914427491394E-3</v>
      </c>
      <c r="J111" s="1">
        <f>$B$16*H111*E111</f>
        <v>1.7875313254901321E-8</v>
      </c>
      <c r="K111" s="1">
        <f>H111+T110</f>
        <v>-9.7994543240866179</v>
      </c>
      <c r="L111" s="1">
        <f>K111*$B$15*E111*(1-E111)</f>
        <v>-9.1508376767700513E-5</v>
      </c>
      <c r="M111" s="1">
        <f>$B$16*L111</f>
        <v>-9.1508376767700516E-6</v>
      </c>
      <c r="N111" s="1">
        <f>$B$16*L111*A111</f>
        <v>-9.1508376767700518E-7</v>
      </c>
      <c r="O111" s="1">
        <f>$B$16*L111*B111</f>
        <v>-9.1508376767700518E-7</v>
      </c>
      <c r="P111" s="24">
        <f>P110+M111</f>
        <v>-13.879390608154488</v>
      </c>
      <c r="Q111" s="1">
        <f>Q110+N111</f>
        <v>4.8660780360823557</v>
      </c>
      <c r="R111" s="1">
        <f>R110+O111</f>
        <v>6.4163405283075807</v>
      </c>
      <c r="S111" s="1">
        <f>S110+I111</f>
        <v>1.9285174328769528</v>
      </c>
      <c r="T111" s="1">
        <f>T110+J111</f>
        <v>-9.8166822206387963</v>
      </c>
      <c r="U111" s="1"/>
      <c r="W111" s="32"/>
      <c r="X111" s="32"/>
      <c r="Y111" s="32"/>
      <c r="Z111" s="32"/>
    </row>
    <row r="112" spans="1:26">
      <c r="A112" s="3">
        <v>0.5</v>
      </c>
      <c r="B112" s="12">
        <v>0.5</v>
      </c>
      <c r="C112" s="12">
        <v>1</v>
      </c>
      <c r="D112" s="1">
        <f t="shared" ref="D112:D120" si="120">P111+(Q111*A112)+(R111*B112)</f>
        <v>-8.2381813259595198</v>
      </c>
      <c r="E112" s="1">
        <f t="shared" ref="E112:E120" si="121">1/(1+EXP(-$B$15*D112))</f>
        <v>6.021731388870386E-4</v>
      </c>
      <c r="F112" s="1">
        <f t="shared" ref="F112:F120" si="122">S111+(T111*E112)</f>
        <v>1.9226060905306941</v>
      </c>
      <c r="G112" s="1">
        <f t="shared" ref="G112:G120" si="123">1/(1+EXP(-$B$15*F112))</f>
        <v>0.84945660578749993</v>
      </c>
      <c r="H112" s="1">
        <f t="shared" ref="H112:H120" si="124">(C112-G112)*$B$15*G112*(1-G112)</f>
        <v>1.7326351256807614E-2</v>
      </c>
      <c r="I112" s="1">
        <f t="shared" ref="I112:I120" si="125">$B$16*H112</f>
        <v>1.7326351256807615E-3</v>
      </c>
      <c r="J112" s="1">
        <f t="shared" ref="J112:J120" si="126">$B$16*H112*E112</f>
        <v>1.0433463321771228E-6</v>
      </c>
      <c r="K112" s="1">
        <f t="shared" ref="K112:K120" si="127">H112+T111</f>
        <v>-9.7993558693819889</v>
      </c>
      <c r="L112" s="1">
        <f t="shared" ref="L112:L120" si="128">K112*$B$15*E112*(1-E112)</f>
        <v>-5.3076199627012976E-3</v>
      </c>
      <c r="M112" s="1">
        <f t="shared" ref="M112:M120" si="129">$B$16*L112</f>
        <v>-5.307619962701298E-4</v>
      </c>
      <c r="N112" s="1">
        <f t="shared" ref="N112:N120" si="130">$B$16*L112*A112</f>
        <v>-2.653809981350649E-4</v>
      </c>
      <c r="O112" s="1">
        <f t="shared" ref="O112:O120" si="131">$B$16*L112*B112</f>
        <v>-2.653809981350649E-4</v>
      </c>
      <c r="P112" s="1">
        <f t="shared" ref="P112:P120" si="132">P111+M112</f>
        <v>-13.879921370150758</v>
      </c>
      <c r="Q112" s="1">
        <f t="shared" ref="Q112:Q120" si="133">Q111+N112</f>
        <v>4.8658126550842207</v>
      </c>
      <c r="R112" s="1">
        <f t="shared" ref="R112:R120" si="134">R111+O112</f>
        <v>6.4160751473094457</v>
      </c>
      <c r="S112" s="1">
        <f t="shared" ref="S112:S120" si="135">S111+I112</f>
        <v>1.9302500680026335</v>
      </c>
      <c r="T112" s="1">
        <f t="shared" ref="T112:T120" si="136">T111+J112</f>
        <v>-9.8166811772924643</v>
      </c>
      <c r="U112" s="1"/>
      <c r="W112" s="32"/>
      <c r="X112" s="32"/>
      <c r="Y112" s="32"/>
      <c r="Z112" s="32"/>
    </row>
    <row r="113" spans="1:26">
      <c r="A113" s="3">
        <v>0.9</v>
      </c>
      <c r="B113" s="12">
        <v>0.1</v>
      </c>
      <c r="C113" s="12">
        <v>1</v>
      </c>
      <c r="D113" s="1">
        <f t="shared" si="120"/>
        <v>-8.859082465844013</v>
      </c>
      <c r="E113" s="1">
        <f t="shared" si="121"/>
        <v>3.4446476776850318E-4</v>
      </c>
      <c r="F113" s="1">
        <f t="shared" si="122"/>
        <v>1.92686856720064</v>
      </c>
      <c r="G113" s="1">
        <f t="shared" si="123"/>
        <v>0.84994652567660867</v>
      </c>
      <c r="H113" s="1">
        <f t="shared" si="124"/>
        <v>1.7223690917486132E-2</v>
      </c>
      <c r="I113" s="1">
        <f t="shared" si="125"/>
        <v>1.7223690917486133E-3</v>
      </c>
      <c r="J113" s="1">
        <f t="shared" si="126"/>
        <v>5.9329546920083382E-7</v>
      </c>
      <c r="K113" s="1">
        <f t="shared" si="127"/>
        <v>-9.7994574863749779</v>
      </c>
      <c r="L113" s="1">
        <f t="shared" si="128"/>
        <v>-3.0369645747961821E-3</v>
      </c>
      <c r="M113" s="1">
        <f t="shared" si="129"/>
        <v>-3.0369645747961821E-4</v>
      </c>
      <c r="N113" s="1">
        <f t="shared" si="130"/>
        <v>-2.733268117316564E-4</v>
      </c>
      <c r="O113" s="1">
        <f t="shared" si="131"/>
        <v>-3.0369645747961823E-5</v>
      </c>
      <c r="P113" s="1">
        <f t="shared" si="132"/>
        <v>-13.880225066608237</v>
      </c>
      <c r="Q113" s="1">
        <f t="shared" si="133"/>
        <v>4.8655393282724893</v>
      </c>
      <c r="R113" s="1">
        <f t="shared" si="134"/>
        <v>6.4160447776636982</v>
      </c>
      <c r="S113" s="1">
        <f t="shared" si="135"/>
        <v>1.9319724370943823</v>
      </c>
      <c r="T113" s="1">
        <f t="shared" si="136"/>
        <v>-9.8166805839969946</v>
      </c>
      <c r="U113" s="1"/>
    </row>
    <row r="114" spans="1:26">
      <c r="A114" s="3">
        <v>0.2</v>
      </c>
      <c r="B114" s="12">
        <v>0.8</v>
      </c>
      <c r="C114" s="12">
        <v>1</v>
      </c>
      <c r="D114" s="1">
        <f t="shared" si="120"/>
        <v>-7.7742813788227796</v>
      </c>
      <c r="E114" s="1">
        <f t="shared" si="121"/>
        <v>9.1391994418601043E-4</v>
      </c>
      <c r="F114" s="1">
        <f t="shared" si="122"/>
        <v>1.9230007769229638</v>
      </c>
      <c r="G114" s="1">
        <f t="shared" si="123"/>
        <v>0.84950202542385289</v>
      </c>
      <c r="H114" s="1">
        <f t="shared" si="124"/>
        <v>1.7316823818366266E-2</v>
      </c>
      <c r="I114" s="1">
        <f t="shared" si="125"/>
        <v>1.7316823818366266E-3</v>
      </c>
      <c r="J114" s="1">
        <f t="shared" si="126"/>
        <v>1.5826190657560274E-6</v>
      </c>
      <c r="K114" s="1">
        <f t="shared" si="127"/>
        <v>-9.799363760178629</v>
      </c>
      <c r="L114" s="1">
        <f t="shared" si="128"/>
        <v>-8.0528841589221287E-3</v>
      </c>
      <c r="M114" s="1">
        <f t="shared" si="129"/>
        <v>-8.0528841589221295E-4</v>
      </c>
      <c r="N114" s="1">
        <f t="shared" si="130"/>
        <v>-1.610576831784426E-4</v>
      </c>
      <c r="O114" s="1">
        <f t="shared" si="131"/>
        <v>-6.4423073271377038E-4</v>
      </c>
      <c r="P114" s="1">
        <f t="shared" si="132"/>
        <v>-13.881030355024128</v>
      </c>
      <c r="Q114" s="1">
        <f t="shared" si="133"/>
        <v>4.8653782705893107</v>
      </c>
      <c r="R114" s="1">
        <f t="shared" si="134"/>
        <v>6.415400546930984</v>
      </c>
      <c r="S114" s="1">
        <f t="shared" si="135"/>
        <v>1.9337041194762188</v>
      </c>
      <c r="T114" s="1">
        <f t="shared" si="136"/>
        <v>-9.8166790013779295</v>
      </c>
      <c r="U114" s="1">
        <f>(((C111-G111)^2 + (C112-G112)^2 + (C113-G113)^2 + (C114-G114)^2 + (C115-G115)^2 + (C116-G116)^2 + (C117-G117)^2 + (C118-G118)^2 + (C119-G119)^2 + (C120-G120)^2)/4)</f>
        <v>0.69541033091978521</v>
      </c>
    </row>
    <row r="115" spans="1:26">
      <c r="A115" s="3">
        <v>0.6</v>
      </c>
      <c r="B115" s="12">
        <v>0.9</v>
      </c>
      <c r="C115" s="12">
        <v>0</v>
      </c>
      <c r="D115" s="1">
        <f t="shared" si="120"/>
        <v>-5.1879429004326569</v>
      </c>
      <c r="E115" s="1">
        <f t="shared" si="121"/>
        <v>9.2930809331656858E-3</v>
      </c>
      <c r="F115" s="1">
        <f t="shared" si="122"/>
        <v>1.8424769270215056</v>
      </c>
      <c r="G115" s="1">
        <f t="shared" si="123"/>
        <v>0.8400001555969453</v>
      </c>
      <c r="H115" s="1">
        <f t="shared" si="124"/>
        <v>-0.10160633883169574</v>
      </c>
      <c r="I115" s="1">
        <f t="shared" si="125"/>
        <v>-1.0160633883169574E-2</v>
      </c>
      <c r="J115" s="1">
        <f t="shared" si="126"/>
        <v>-9.4423593008560389E-5</v>
      </c>
      <c r="K115" s="1">
        <f t="shared" si="127"/>
        <v>-9.9182853402096249</v>
      </c>
      <c r="L115" s="1">
        <f t="shared" si="128"/>
        <v>-8.2183384656984049E-2</v>
      </c>
      <c r="M115" s="1">
        <f t="shared" si="129"/>
        <v>-8.2183384656984056E-3</v>
      </c>
      <c r="N115" s="1">
        <f t="shared" si="130"/>
        <v>-4.9310030794190432E-3</v>
      </c>
      <c r="O115" s="1">
        <f t="shared" si="131"/>
        <v>-7.3965046191285652E-3</v>
      </c>
      <c r="P115" s="1">
        <f t="shared" si="132"/>
        <v>-13.889248693489826</v>
      </c>
      <c r="Q115" s="1">
        <f t="shared" si="133"/>
        <v>4.8604472675098913</v>
      </c>
      <c r="R115" s="1">
        <f t="shared" si="134"/>
        <v>6.4080040423118554</v>
      </c>
      <c r="S115" s="1">
        <f t="shared" si="135"/>
        <v>1.9235434855930491</v>
      </c>
      <c r="T115" s="1">
        <f t="shared" si="136"/>
        <v>-9.816773424970938</v>
      </c>
      <c r="U115" s="1"/>
    </row>
    <row r="116" spans="1:26">
      <c r="A116" s="3">
        <v>1</v>
      </c>
      <c r="B116" s="12">
        <v>1</v>
      </c>
      <c r="C116" s="12">
        <v>0</v>
      </c>
      <c r="D116" s="1">
        <f t="shared" si="120"/>
        <v>-2.62079738366808</v>
      </c>
      <c r="E116" s="1">
        <f t="shared" si="121"/>
        <v>8.6375337391952287E-2</v>
      </c>
      <c r="F116" s="1">
        <f t="shared" si="122"/>
        <v>1.0756163689108333</v>
      </c>
      <c r="G116" s="1">
        <f t="shared" si="123"/>
        <v>0.72473159487163696</v>
      </c>
      <c r="H116" s="1">
        <f t="shared" si="124"/>
        <v>-0.13012275984430915</v>
      </c>
      <c r="I116" s="1">
        <f t="shared" si="125"/>
        <v>-1.3012275984430915E-2</v>
      </c>
      <c r="J116" s="1">
        <f t="shared" si="126"/>
        <v>-1.1239397283924184E-3</v>
      </c>
      <c r="K116" s="1">
        <f t="shared" si="127"/>
        <v>-9.9468961848152464</v>
      </c>
      <c r="L116" s="1">
        <f t="shared" si="128"/>
        <v>-0.70646014480180241</v>
      </c>
      <c r="M116" s="1">
        <f t="shared" si="129"/>
        <v>-7.064601448018025E-2</v>
      </c>
      <c r="N116" s="1">
        <f t="shared" si="130"/>
        <v>-7.064601448018025E-2</v>
      </c>
      <c r="O116" s="1">
        <f t="shared" si="131"/>
        <v>-7.064601448018025E-2</v>
      </c>
      <c r="P116" s="1">
        <f t="shared" si="132"/>
        <v>-13.959894707970006</v>
      </c>
      <c r="Q116" s="1">
        <f t="shared" si="133"/>
        <v>4.7898012530297107</v>
      </c>
      <c r="R116" s="1">
        <f t="shared" si="134"/>
        <v>6.3373580278316748</v>
      </c>
      <c r="S116" s="1">
        <f t="shared" si="135"/>
        <v>1.9105312096086182</v>
      </c>
      <c r="T116" s="1">
        <f t="shared" si="136"/>
        <v>-9.8178973646993306</v>
      </c>
      <c r="U116" s="1"/>
    </row>
    <row r="117" spans="1:26">
      <c r="A117" s="3">
        <v>0.3</v>
      </c>
      <c r="B117" s="12">
        <v>1.2</v>
      </c>
      <c r="C117" s="12">
        <v>0</v>
      </c>
      <c r="D117" s="1">
        <f t="shared" si="120"/>
        <v>-4.9181246986630844</v>
      </c>
      <c r="E117" s="1">
        <f t="shared" si="121"/>
        <v>1.1817192699158421E-2</v>
      </c>
      <c r="F117" s="1">
        <f t="shared" si="122"/>
        <v>1.7945112245494066</v>
      </c>
      <c r="G117" s="1">
        <f t="shared" si="123"/>
        <v>0.83411273031616817</v>
      </c>
      <c r="H117" s="1">
        <f t="shared" si="124"/>
        <v>-0.10387357230145985</v>
      </c>
      <c r="I117" s="1">
        <f t="shared" si="125"/>
        <v>-1.0387357230145985E-2</v>
      </c>
      <c r="J117" s="1">
        <f t="shared" si="126"/>
        <v>-1.2274940202363158E-4</v>
      </c>
      <c r="K117" s="1">
        <f t="shared" si="127"/>
        <v>-9.9217709370007903</v>
      </c>
      <c r="L117" s="1">
        <f t="shared" si="128"/>
        <v>-0.10427574872310802</v>
      </c>
      <c r="M117" s="1">
        <f t="shared" si="129"/>
        <v>-1.0427574872310802E-2</v>
      </c>
      <c r="N117" s="1">
        <f t="shared" si="130"/>
        <v>-3.1282724616932406E-3</v>
      </c>
      <c r="O117" s="1">
        <f t="shared" si="131"/>
        <v>-1.2513089846772962E-2</v>
      </c>
      <c r="P117" s="1">
        <f t="shared" si="132"/>
        <v>-13.970322282842318</v>
      </c>
      <c r="Q117" s="1">
        <f t="shared" si="133"/>
        <v>4.7866729805680173</v>
      </c>
      <c r="R117" s="1">
        <f t="shared" si="134"/>
        <v>6.3248449379849019</v>
      </c>
      <c r="S117" s="1">
        <f t="shared" si="135"/>
        <v>1.9001438523784722</v>
      </c>
      <c r="T117" s="1">
        <f t="shared" si="136"/>
        <v>-9.8180201141013548</v>
      </c>
      <c r="U117" s="1"/>
    </row>
    <row r="118" spans="1:26">
      <c r="A118" s="3">
        <v>-0.1</v>
      </c>
      <c r="B118" s="12">
        <v>-0.1</v>
      </c>
      <c r="C118" s="12">
        <v>1</v>
      </c>
      <c r="D118" s="1">
        <f t="shared" si="120"/>
        <v>-15.08147407469761</v>
      </c>
      <c r="E118" s="1">
        <f t="shared" si="121"/>
        <v>1.27402683016044E-6</v>
      </c>
      <c r="F118" s="1">
        <f t="shared" si="122"/>
        <v>1.9001313439574277</v>
      </c>
      <c r="G118" s="1">
        <f t="shared" si="123"/>
        <v>0.84685161592926772</v>
      </c>
      <c r="H118" s="1">
        <f t="shared" si="124"/>
        <v>1.7876177879300119E-2</v>
      </c>
      <c r="I118" s="1">
        <f t="shared" si="125"/>
        <v>1.7876177879300121E-3</v>
      </c>
      <c r="J118" s="1">
        <f t="shared" si="126"/>
        <v>2.277473023894891E-9</v>
      </c>
      <c r="K118" s="1">
        <f t="shared" si="127"/>
        <v>-9.8001439362220548</v>
      </c>
      <c r="L118" s="1">
        <f t="shared" si="128"/>
        <v>-1.1237067366419381E-5</v>
      </c>
      <c r="M118" s="1">
        <f t="shared" si="129"/>
        <v>-1.1237067366419381E-6</v>
      </c>
      <c r="N118" s="1">
        <f t="shared" si="130"/>
        <v>1.1237067366419382E-7</v>
      </c>
      <c r="O118" s="1">
        <f t="shared" si="131"/>
        <v>1.1237067366419382E-7</v>
      </c>
      <c r="P118" s="1">
        <f t="shared" si="132"/>
        <v>-13.970323406549054</v>
      </c>
      <c r="Q118" s="1">
        <f t="shared" si="133"/>
        <v>4.7866730929386909</v>
      </c>
      <c r="R118" s="1">
        <f t="shared" si="134"/>
        <v>6.3248450503555755</v>
      </c>
      <c r="S118" s="1">
        <f t="shared" si="135"/>
        <v>1.9019314701664021</v>
      </c>
      <c r="T118" s="1">
        <f t="shared" si="136"/>
        <v>-9.8180201118238823</v>
      </c>
      <c r="U118" s="1"/>
    </row>
    <row r="119" spans="1:26">
      <c r="A119" s="3">
        <v>-0.5</v>
      </c>
      <c r="B119" s="12">
        <v>-0.5</v>
      </c>
      <c r="C119" s="12">
        <v>1</v>
      </c>
      <c r="D119" s="1">
        <f t="shared" si="120"/>
        <v>-19.526082478196187</v>
      </c>
      <c r="E119" s="1">
        <f t="shared" si="121"/>
        <v>2.3331201460735373E-8</v>
      </c>
      <c r="F119" s="1">
        <f t="shared" si="122"/>
        <v>1.901931241100197</v>
      </c>
      <c r="G119" s="1">
        <f t="shared" si="123"/>
        <v>0.84706159010929116</v>
      </c>
      <c r="H119" s="1">
        <f t="shared" si="124"/>
        <v>1.783161339083416E-2</v>
      </c>
      <c r="I119" s="1">
        <f t="shared" si="125"/>
        <v>1.783161339083416E-3</v>
      </c>
      <c r="J119" s="1">
        <f t="shared" si="126"/>
        <v>4.1603296439149838E-11</v>
      </c>
      <c r="K119" s="1">
        <f t="shared" si="127"/>
        <v>-9.8001884984330481</v>
      </c>
      <c r="L119" s="1">
        <f t="shared" si="128"/>
        <v>-2.0578515018789592E-7</v>
      </c>
      <c r="M119" s="1">
        <f t="shared" si="129"/>
        <v>-2.0578515018789592E-8</v>
      </c>
      <c r="N119" s="1">
        <f t="shared" si="130"/>
        <v>1.0289257509394796E-8</v>
      </c>
      <c r="O119" s="1">
        <f t="shared" si="131"/>
        <v>1.0289257509394796E-8</v>
      </c>
      <c r="P119" s="1">
        <f t="shared" si="132"/>
        <v>-13.970323427127569</v>
      </c>
      <c r="Q119" s="1">
        <f t="shared" si="133"/>
        <v>4.7866731032279484</v>
      </c>
      <c r="R119" s="1">
        <f t="shared" si="134"/>
        <v>6.324845060644833</v>
      </c>
      <c r="S119" s="1">
        <f t="shared" si="135"/>
        <v>1.9037146315054856</v>
      </c>
      <c r="T119" s="1">
        <f t="shared" si="136"/>
        <v>-9.8180201117822783</v>
      </c>
      <c r="U119" s="1"/>
    </row>
    <row r="120" spans="1:26">
      <c r="A120" s="3">
        <v>-1</v>
      </c>
      <c r="B120" s="12">
        <v>-1</v>
      </c>
      <c r="C120" s="12">
        <v>0</v>
      </c>
      <c r="D120" s="1">
        <f t="shared" si="120"/>
        <v>-25.081841591000352</v>
      </c>
      <c r="E120" s="1">
        <f t="shared" si="121"/>
        <v>1.5717560506234833E-10</v>
      </c>
      <c r="F120" s="1">
        <f t="shared" si="122"/>
        <v>1.9037146299623324</v>
      </c>
      <c r="G120" s="1">
        <f t="shared" si="123"/>
        <v>0.84726940572057197</v>
      </c>
      <c r="H120" s="1">
        <f t="shared" si="124"/>
        <v>-9.8676014544365045E-2</v>
      </c>
      <c r="I120" s="1">
        <f t="shared" si="125"/>
        <v>-9.8676014544365059E-3</v>
      </c>
      <c r="J120" s="1">
        <f t="shared" si="126"/>
        <v>-1.5509462291151662E-12</v>
      </c>
      <c r="K120" s="1">
        <f t="shared" si="127"/>
        <v>-9.9166961263266433</v>
      </c>
      <c r="L120" s="1">
        <f t="shared" si="128"/>
        <v>-1.402796442266867E-9</v>
      </c>
      <c r="M120" s="1">
        <f t="shared" si="129"/>
        <v>-1.4027964422668671E-10</v>
      </c>
      <c r="N120" s="1">
        <f t="shared" si="130"/>
        <v>1.4027964422668671E-10</v>
      </c>
      <c r="O120" s="1">
        <f t="shared" si="131"/>
        <v>1.4027964422668671E-10</v>
      </c>
      <c r="P120" s="1">
        <f t="shared" si="132"/>
        <v>-13.970323427267848</v>
      </c>
      <c r="Q120" s="1">
        <f t="shared" si="133"/>
        <v>4.7866731033682282</v>
      </c>
      <c r="R120" s="1">
        <f t="shared" si="134"/>
        <v>6.3248450607851128</v>
      </c>
      <c r="S120" s="1">
        <f t="shared" si="135"/>
        <v>1.893847030051049</v>
      </c>
      <c r="T120" s="1">
        <f t="shared" si="136"/>
        <v>-9.8180201117838291</v>
      </c>
      <c r="U120" s="1"/>
    </row>
    <row r="123" spans="1:26">
      <c r="A123" s="29" t="s">
        <v>0</v>
      </c>
      <c r="B123" s="29"/>
      <c r="C123" s="29"/>
      <c r="D123" s="29" t="s">
        <v>1</v>
      </c>
      <c r="E123" s="29"/>
      <c r="F123" s="30" t="s">
        <v>2</v>
      </c>
      <c r="G123" s="30"/>
      <c r="H123" s="29" t="s">
        <v>7</v>
      </c>
      <c r="I123" s="29"/>
      <c r="J123" s="29"/>
      <c r="K123" s="29" t="s">
        <v>11</v>
      </c>
      <c r="L123" s="29"/>
      <c r="M123" s="29"/>
      <c r="N123" s="29"/>
      <c r="O123" s="29"/>
      <c r="P123" s="29" t="s">
        <v>17</v>
      </c>
      <c r="Q123" s="29"/>
      <c r="R123" s="29"/>
      <c r="S123" s="29"/>
      <c r="T123" s="29"/>
      <c r="U123" s="4" t="s">
        <v>23</v>
      </c>
    </row>
    <row r="124" spans="1:26">
      <c r="A124" s="2" t="s">
        <v>25</v>
      </c>
      <c r="B124" s="2" t="s">
        <v>26</v>
      </c>
      <c r="C124" s="2" t="s">
        <v>27</v>
      </c>
      <c r="D124" s="2" t="s">
        <v>3</v>
      </c>
      <c r="E124" s="2" t="s">
        <v>4</v>
      </c>
      <c r="F124" s="2" t="s">
        <v>5</v>
      </c>
      <c r="G124" s="2" t="s">
        <v>6</v>
      </c>
      <c r="H124" s="2" t="s">
        <v>8</v>
      </c>
      <c r="I124" s="2" t="s">
        <v>9</v>
      </c>
      <c r="J124" s="2" t="s">
        <v>10</v>
      </c>
      <c r="K124" s="2" t="s">
        <v>12</v>
      </c>
      <c r="L124" s="2" t="s">
        <v>13</v>
      </c>
      <c r="M124" s="2" t="s">
        <v>14</v>
      </c>
      <c r="N124" s="2" t="s">
        <v>15</v>
      </c>
      <c r="O124" s="2" t="s">
        <v>16</v>
      </c>
      <c r="P124" s="2" t="s">
        <v>18</v>
      </c>
      <c r="Q124" s="2" t="s">
        <v>19</v>
      </c>
      <c r="R124" s="2" t="s">
        <v>20</v>
      </c>
      <c r="S124" s="2" t="s">
        <v>21</v>
      </c>
      <c r="T124" s="2" t="s">
        <v>22</v>
      </c>
      <c r="U124" s="2" t="s">
        <v>24</v>
      </c>
      <c r="W124" s="31" t="s">
        <v>43</v>
      </c>
      <c r="X124" s="32"/>
      <c r="Y124" s="32"/>
      <c r="Z124" s="32"/>
    </row>
    <row r="125" spans="1:26">
      <c r="A125" s="5"/>
      <c r="B125" s="5"/>
      <c r="C125" s="5"/>
      <c r="D125" s="6"/>
      <c r="E125" s="6"/>
      <c r="F125" s="6"/>
      <c r="G125" s="6"/>
      <c r="H125" s="6"/>
      <c r="I125" s="6"/>
      <c r="J125" s="6"/>
      <c r="K125" s="6"/>
      <c r="L125" s="6"/>
      <c r="M125" s="6"/>
      <c r="N125" s="6"/>
      <c r="O125" s="6"/>
      <c r="P125" s="19">
        <f>P120</f>
        <v>-13.970323427267848</v>
      </c>
      <c r="Q125" s="22">
        <f>Q120</f>
        <v>4.7866731033682282</v>
      </c>
      <c r="R125" s="22">
        <f>R120</f>
        <v>6.3248450607851128</v>
      </c>
      <c r="S125" s="22">
        <f>S120</f>
        <v>1.893847030051049</v>
      </c>
      <c r="T125" s="22">
        <f>T120</f>
        <v>-9.8180201117838291</v>
      </c>
      <c r="U125" s="1"/>
      <c r="W125" s="32"/>
      <c r="X125" s="32"/>
      <c r="Y125" s="32"/>
      <c r="Z125" s="32"/>
    </row>
    <row r="126" spans="1:26">
      <c r="A126" s="3">
        <v>0.1</v>
      </c>
      <c r="B126" s="12">
        <v>0.1</v>
      </c>
      <c r="C126" s="12">
        <v>1</v>
      </c>
      <c r="D126" s="1">
        <f>P125+(Q125*A126)+(R125*B126)</f>
        <v>-12.859171610852513</v>
      </c>
      <c r="E126" s="1">
        <f>1/(1+EXP(-$B$15*D126))</f>
        <v>9.4144589504160691E-6</v>
      </c>
      <c r="F126" s="1">
        <f>S125+(T125*E126)</f>
        <v>1.8937545987037323</v>
      </c>
      <c r="G126" s="1">
        <f>1/(1+EXP(-$B$15*F126))</f>
        <v>0.84610581058219947</v>
      </c>
      <c r="H126" s="1">
        <f>(C126-G126)*$B$15*G126*(1-G126)</f>
        <v>1.8034812518897339E-2</v>
      </c>
      <c r="I126" s="1">
        <f>$B$16*H126</f>
        <v>1.8034812518897339E-3</v>
      </c>
      <c r="J126" s="1">
        <f>$B$16*H126*E126</f>
        <v>1.6978800213760883E-8</v>
      </c>
      <c r="K126" s="1">
        <f>H126+T125</f>
        <v>-9.7999852992649323</v>
      </c>
      <c r="L126" s="1">
        <f>K126*$B$15*E126*(1-E126)</f>
        <v>-8.3034621649753014E-5</v>
      </c>
      <c r="M126" s="1">
        <f>$B$16*L126</f>
        <v>-8.3034621649753014E-6</v>
      </c>
      <c r="N126" s="1">
        <f>$B$16*L126*A126</f>
        <v>-8.3034621649753017E-7</v>
      </c>
      <c r="O126" s="1">
        <f>$B$16*L126*B126</f>
        <v>-8.3034621649753017E-7</v>
      </c>
      <c r="P126" s="24">
        <f>P125+M126</f>
        <v>-13.970331730730013</v>
      </c>
      <c r="Q126" s="1">
        <f>Q125+N126</f>
        <v>4.7866722730220115</v>
      </c>
      <c r="R126" s="1">
        <f>R125+O126</f>
        <v>6.3248442304388961</v>
      </c>
      <c r="S126" s="1">
        <f>S125+I126</f>
        <v>1.8956505113029387</v>
      </c>
      <c r="T126" s="1">
        <f>T125+J126</f>
        <v>-9.8180200948050285</v>
      </c>
      <c r="U126" s="1"/>
      <c r="W126" s="32"/>
      <c r="X126" s="32"/>
      <c r="Y126" s="32"/>
      <c r="Z126" s="32"/>
    </row>
    <row r="127" spans="1:26">
      <c r="A127" s="3">
        <v>0.5</v>
      </c>
      <c r="B127" s="12">
        <v>0.5</v>
      </c>
      <c r="C127" s="12">
        <v>1</v>
      </c>
      <c r="D127" s="1">
        <f t="shared" ref="D127:D135" si="137">P126+(Q126*A127)+(R126*B127)</f>
        <v>-8.414573478999559</v>
      </c>
      <c r="E127" s="1">
        <f t="shared" ref="E127:E135" si="138">1/(1+EXP(-$B$15*D127))</f>
        <v>5.138238338349251E-4</v>
      </c>
      <c r="F127" s="1">
        <f t="shared" ref="F127:F135" si="139">S126+(T126*E127)</f>
        <v>1.8906057785771577</v>
      </c>
      <c r="G127" s="1">
        <f t="shared" ref="G127:G135" si="140">1/(1+EXP(-$B$15*F127))</f>
        <v>0.84573643927641051</v>
      </c>
      <c r="H127" s="1">
        <f t="shared" ref="H127:H135" si="141">(C127-G127)*$B$15*G127*(1-G127)</f>
        <v>1.8113578414168292E-2</v>
      </c>
      <c r="I127" s="1">
        <f t="shared" ref="I127:I135" si="142">$B$16*H127</f>
        <v>1.8113578414168292E-3</v>
      </c>
      <c r="J127" s="1">
        <f t="shared" ref="J127:J135" si="143">$B$16*H127*E127</f>
        <v>9.3071883052374943E-7</v>
      </c>
      <c r="K127" s="1">
        <f t="shared" ref="K127:K135" si="144">H127+T126</f>
        <v>-9.7999065163908607</v>
      </c>
      <c r="L127" s="1">
        <f t="shared" ref="L127:L135" si="145">K127*$B$15*E127*(1-E127)</f>
        <v>-4.5295543942390449E-3</v>
      </c>
      <c r="M127" s="1">
        <f t="shared" ref="M127:M135" si="146">$B$16*L127</f>
        <v>-4.5295543942390449E-4</v>
      </c>
      <c r="N127" s="1">
        <f t="shared" ref="N127:N135" si="147">$B$16*L127*A127</f>
        <v>-2.2647771971195225E-4</v>
      </c>
      <c r="O127" s="1">
        <f t="shared" ref="O127:O135" si="148">$B$16*L127*B127</f>
        <v>-2.2647771971195225E-4</v>
      </c>
      <c r="P127" s="1">
        <f t="shared" ref="P127:P135" si="149">P126+M127</f>
        <v>-13.970784686169438</v>
      </c>
      <c r="Q127" s="1">
        <f t="shared" ref="Q127:Q135" si="150">Q126+N127</f>
        <v>4.7864457953022992</v>
      </c>
      <c r="R127" s="1">
        <f t="shared" ref="R127:R135" si="151">R126+O127</f>
        <v>6.3246177527191838</v>
      </c>
      <c r="S127" s="1">
        <f t="shared" ref="S127:S135" si="152">S126+I127</f>
        <v>1.8974618691443554</v>
      </c>
      <c r="T127" s="1">
        <f t="shared" ref="T127:T135" si="153">T126+J127</f>
        <v>-9.8180191640861985</v>
      </c>
      <c r="U127" s="1"/>
    </row>
    <row r="128" spans="1:26">
      <c r="A128" s="3">
        <v>0.9</v>
      </c>
      <c r="B128" s="12">
        <v>0.1</v>
      </c>
      <c r="C128" s="12">
        <v>1</v>
      </c>
      <c r="D128" s="1">
        <f t="shared" si="137"/>
        <v>-9.030521695125449</v>
      </c>
      <c r="E128" s="1">
        <f t="shared" si="138"/>
        <v>2.952273570618334E-4</v>
      </c>
      <c r="F128" s="1">
        <f t="shared" si="139"/>
        <v>1.8945633212949597</v>
      </c>
      <c r="G128" s="1">
        <f t="shared" si="140"/>
        <v>0.84620056065986449</v>
      </c>
      <c r="H128" s="1">
        <f t="shared" si="141"/>
        <v>1.8014629009932327E-2</v>
      </c>
      <c r="I128" s="1">
        <f t="shared" si="142"/>
        <v>1.8014629009932327E-3</v>
      </c>
      <c r="J128" s="1">
        <f t="shared" si="143"/>
        <v>5.3184113110517529E-7</v>
      </c>
      <c r="K128" s="1">
        <f t="shared" si="144"/>
        <v>-9.8000045350762655</v>
      </c>
      <c r="L128" s="1">
        <f t="shared" si="145"/>
        <v>-2.6031377498437515E-3</v>
      </c>
      <c r="M128" s="1">
        <f t="shared" si="146"/>
        <v>-2.6031377498437515E-4</v>
      </c>
      <c r="N128" s="1">
        <f t="shared" si="147"/>
        <v>-2.3428239748593763E-4</v>
      </c>
      <c r="O128" s="1">
        <f t="shared" si="148"/>
        <v>-2.6031377498437517E-5</v>
      </c>
      <c r="P128" s="1">
        <f t="shared" si="149"/>
        <v>-13.971044999944422</v>
      </c>
      <c r="Q128" s="1">
        <f t="shared" si="150"/>
        <v>4.7862115129048135</v>
      </c>
      <c r="R128" s="1">
        <f t="shared" si="151"/>
        <v>6.3245917213416858</v>
      </c>
      <c r="S128" s="1">
        <f t="shared" si="152"/>
        <v>1.8992633320453487</v>
      </c>
      <c r="T128" s="1">
        <f t="shared" si="153"/>
        <v>-9.8180186322450673</v>
      </c>
      <c r="U128" s="1"/>
    </row>
    <row r="129" spans="1:26">
      <c r="A129" s="3">
        <v>0.2</v>
      </c>
      <c r="B129" s="12">
        <v>0.8</v>
      </c>
      <c r="C129" s="12">
        <v>1</v>
      </c>
      <c r="D129" s="1">
        <f t="shared" si="137"/>
        <v>-7.9541293202901109</v>
      </c>
      <c r="E129" s="1">
        <f t="shared" si="138"/>
        <v>7.7744773474364918E-4</v>
      </c>
      <c r="F129" s="1">
        <f t="shared" si="139"/>
        <v>1.8916303357000388</v>
      </c>
      <c r="G129" s="1">
        <f t="shared" si="140"/>
        <v>0.84585670409966274</v>
      </c>
      <c r="H129" s="1">
        <f t="shared" si="141"/>
        <v>1.8087918268304685E-2</v>
      </c>
      <c r="I129" s="1">
        <f t="shared" si="142"/>
        <v>1.8087918268304686E-3</v>
      </c>
      <c r="J129" s="1">
        <f t="shared" si="143"/>
        <v>1.4062411083921748E-6</v>
      </c>
      <c r="K129" s="1">
        <f t="shared" si="144"/>
        <v>-9.799930713976762</v>
      </c>
      <c r="L129" s="1">
        <f t="shared" si="145"/>
        <v>-6.8517095501678593E-3</v>
      </c>
      <c r="M129" s="1">
        <f t="shared" si="146"/>
        <v>-6.8517095501678595E-4</v>
      </c>
      <c r="N129" s="1">
        <f t="shared" si="147"/>
        <v>-1.3703419100335719E-4</v>
      </c>
      <c r="O129" s="1">
        <f t="shared" si="148"/>
        <v>-5.4813676401342876E-4</v>
      </c>
      <c r="P129" s="1">
        <f t="shared" si="149"/>
        <v>-13.971730170899438</v>
      </c>
      <c r="Q129" s="1">
        <f t="shared" si="150"/>
        <v>4.7860744787138101</v>
      </c>
      <c r="R129" s="1">
        <f t="shared" si="151"/>
        <v>6.3240435845776721</v>
      </c>
      <c r="S129" s="1">
        <f t="shared" si="152"/>
        <v>1.9010721238721791</v>
      </c>
      <c r="T129" s="1">
        <f t="shared" si="153"/>
        <v>-9.8180172260039598</v>
      </c>
      <c r="U129" s="1">
        <f>(((C126-G126)^2 + (C127-G127)^2 + (C128-G128)^2 + (C129-G129)^2 + (C130-G130)^2 + (C131-G131)^2 + (C132-G132)^2 + (C133-G133)^2 + (C134-G134)^2 + (C135-G135)^2)/4)</f>
        <v>0.70234030539635472</v>
      </c>
    </row>
    <row r="130" spans="1:26">
      <c r="A130" s="3">
        <v>0.6</v>
      </c>
      <c r="B130" s="12">
        <v>0.9</v>
      </c>
      <c r="C130" s="12">
        <v>0</v>
      </c>
      <c r="D130" s="1">
        <f t="shared" si="137"/>
        <v>-5.4084462575512458</v>
      </c>
      <c r="E130" s="1">
        <f t="shared" si="138"/>
        <v>7.6330788832009418E-3</v>
      </c>
      <c r="F130" s="1">
        <f t="shared" si="139"/>
        <v>1.8261304239094651</v>
      </c>
      <c r="G130" s="1">
        <f t="shared" si="140"/>
        <v>0.83801298006268643</v>
      </c>
      <c r="H130" s="1">
        <f t="shared" si="141"/>
        <v>-0.10238214313489946</v>
      </c>
      <c r="I130" s="1">
        <f t="shared" si="142"/>
        <v>-1.0238214313489946E-2</v>
      </c>
      <c r="J130" s="1">
        <f t="shared" si="143"/>
        <v>-7.8149097477985739E-5</v>
      </c>
      <c r="K130" s="1">
        <f t="shared" si="144"/>
        <v>-9.9203993691388597</v>
      </c>
      <c r="L130" s="1">
        <f t="shared" si="145"/>
        <v>-6.7630670863002187E-2</v>
      </c>
      <c r="M130" s="1">
        <f t="shared" si="146"/>
        <v>-6.7630670863002189E-3</v>
      </c>
      <c r="N130" s="1">
        <f t="shared" si="147"/>
        <v>-4.0578402517801315E-3</v>
      </c>
      <c r="O130" s="1">
        <f t="shared" si="148"/>
        <v>-6.0867603776701973E-3</v>
      </c>
      <c r="P130" s="1">
        <f t="shared" si="149"/>
        <v>-13.978493237985738</v>
      </c>
      <c r="Q130" s="1">
        <f t="shared" si="150"/>
        <v>4.7820166384620304</v>
      </c>
      <c r="R130" s="1">
        <f t="shared" si="151"/>
        <v>6.3179568242000022</v>
      </c>
      <c r="S130" s="1">
        <f t="shared" si="152"/>
        <v>1.890833909558689</v>
      </c>
      <c r="T130" s="1">
        <f t="shared" si="153"/>
        <v>-9.8180953751014375</v>
      </c>
      <c r="U130" s="1"/>
    </row>
    <row r="131" spans="1:26">
      <c r="A131" s="3">
        <v>1</v>
      </c>
      <c r="B131" s="12">
        <v>1</v>
      </c>
      <c r="C131" s="12">
        <v>0</v>
      </c>
      <c r="D131" s="1">
        <f t="shared" si="137"/>
        <v>-2.8785197753237055</v>
      </c>
      <c r="E131" s="1">
        <f t="shared" si="138"/>
        <v>6.9741445324151885E-2</v>
      </c>
      <c r="F131" s="1">
        <f t="shared" si="139"/>
        <v>1.2061057477687436</v>
      </c>
      <c r="G131" s="1">
        <f t="shared" si="140"/>
        <v>0.74753248451890086</v>
      </c>
      <c r="H131" s="1">
        <f t="shared" si="141"/>
        <v>-0.12697205704712064</v>
      </c>
      <c r="I131" s="1">
        <f t="shared" si="142"/>
        <v>-1.2697205704712064E-2</v>
      </c>
      <c r="J131" s="1">
        <f t="shared" si="143"/>
        <v>-8.8552147742468584E-4</v>
      </c>
      <c r="K131" s="1">
        <f t="shared" si="144"/>
        <v>-9.9450674321485586</v>
      </c>
      <c r="L131" s="1">
        <f t="shared" si="145"/>
        <v>-0.58069068248681999</v>
      </c>
      <c r="M131" s="1">
        <f t="shared" si="146"/>
        <v>-5.8069068248682E-2</v>
      </c>
      <c r="N131" s="1">
        <f t="shared" si="147"/>
        <v>-5.8069068248682E-2</v>
      </c>
      <c r="O131" s="1">
        <f t="shared" si="148"/>
        <v>-5.8069068248682E-2</v>
      </c>
      <c r="P131" s="1">
        <f t="shared" si="149"/>
        <v>-14.036562306234421</v>
      </c>
      <c r="Q131" s="1">
        <f t="shared" si="150"/>
        <v>4.7239475702133484</v>
      </c>
      <c r="R131" s="1">
        <f t="shared" si="151"/>
        <v>6.2598877559513202</v>
      </c>
      <c r="S131" s="1">
        <f t="shared" si="152"/>
        <v>1.8781367038539769</v>
      </c>
      <c r="T131" s="1">
        <f t="shared" si="153"/>
        <v>-9.8189808965788625</v>
      </c>
      <c r="U131" s="1"/>
    </row>
    <row r="132" spans="1:26">
      <c r="A132" s="3">
        <v>0.3</v>
      </c>
      <c r="B132" s="12">
        <v>1.2</v>
      </c>
      <c r="C132" s="12">
        <v>0</v>
      </c>
      <c r="D132" s="1">
        <f t="shared" si="137"/>
        <v>-5.1075127280288335</v>
      </c>
      <c r="E132" s="1">
        <f t="shared" si="138"/>
        <v>9.9837611755334149E-3</v>
      </c>
      <c r="F132" s="1">
        <f t="shared" si="139"/>
        <v>1.7801063435954085</v>
      </c>
      <c r="G132" s="1">
        <f t="shared" si="140"/>
        <v>0.83231108563128742</v>
      </c>
      <c r="H132" s="1">
        <f t="shared" si="141"/>
        <v>-0.10454859977935713</v>
      </c>
      <c r="I132" s="1">
        <f t="shared" si="142"/>
        <v>-1.0454859977935714E-2</v>
      </c>
      <c r="J132" s="1">
        <f t="shared" si="143"/>
        <v>-1.0437882514335272E-4</v>
      </c>
      <c r="K132" s="1">
        <f t="shared" si="144"/>
        <v>-9.9235294963582188</v>
      </c>
      <c r="L132" s="1">
        <f t="shared" si="145"/>
        <v>-8.8276514285347801E-2</v>
      </c>
      <c r="M132" s="1">
        <f t="shared" si="146"/>
        <v>-8.8276514285347812E-3</v>
      </c>
      <c r="N132" s="1">
        <f t="shared" si="147"/>
        <v>-2.6482954285604343E-3</v>
      </c>
      <c r="O132" s="1">
        <f t="shared" si="148"/>
        <v>-1.0593181714241737E-2</v>
      </c>
      <c r="P132" s="1">
        <f t="shared" si="149"/>
        <v>-14.045389957662955</v>
      </c>
      <c r="Q132" s="1">
        <f t="shared" si="150"/>
        <v>4.7212992747847879</v>
      </c>
      <c r="R132" s="1">
        <f t="shared" si="151"/>
        <v>6.2492945742370782</v>
      </c>
      <c r="S132" s="1">
        <f t="shared" si="152"/>
        <v>1.8676818438760412</v>
      </c>
      <c r="T132" s="1">
        <f t="shared" si="153"/>
        <v>-9.8190852754040066</v>
      </c>
      <c r="U132" s="1"/>
    </row>
    <row r="133" spans="1:26">
      <c r="A133" s="3">
        <v>-0.1</v>
      </c>
      <c r="B133" s="12">
        <v>-0.1</v>
      </c>
      <c r="C133" s="12">
        <v>1</v>
      </c>
      <c r="D133" s="1">
        <f t="shared" si="137"/>
        <v>-15.142449342565142</v>
      </c>
      <c r="E133" s="1">
        <f t="shared" si="138"/>
        <v>1.2059949895084609E-6</v>
      </c>
      <c r="F133" s="1">
        <f t="shared" si="139"/>
        <v>1.8676700021083974</v>
      </c>
      <c r="G133" s="1">
        <f t="shared" si="140"/>
        <v>0.84302406642810124</v>
      </c>
      <c r="H133" s="1">
        <f t="shared" si="141"/>
        <v>1.8695997079327828E-2</v>
      </c>
      <c r="I133" s="1">
        <f t="shared" si="142"/>
        <v>1.8695997079327829E-3</v>
      </c>
      <c r="J133" s="1">
        <f t="shared" si="143"/>
        <v>2.2547278801534182E-9</v>
      </c>
      <c r="K133" s="1">
        <f t="shared" si="144"/>
        <v>-9.800389278324678</v>
      </c>
      <c r="L133" s="1">
        <f t="shared" si="145"/>
        <v>-1.0637285499874315E-5</v>
      </c>
      <c r="M133" s="1">
        <f t="shared" si="146"/>
        <v>-1.0637285499874316E-6</v>
      </c>
      <c r="N133" s="1">
        <f t="shared" si="147"/>
        <v>1.0637285499874316E-7</v>
      </c>
      <c r="O133" s="1">
        <f t="shared" si="148"/>
        <v>1.0637285499874316E-7</v>
      </c>
      <c r="P133" s="1">
        <f t="shared" si="149"/>
        <v>-14.045391021391506</v>
      </c>
      <c r="Q133" s="1">
        <f t="shared" si="150"/>
        <v>4.7212993811576434</v>
      </c>
      <c r="R133" s="1">
        <f t="shared" si="151"/>
        <v>6.2492946806099336</v>
      </c>
      <c r="S133" s="1">
        <f t="shared" si="152"/>
        <v>1.869551443583974</v>
      </c>
      <c r="T133" s="1">
        <f t="shared" si="153"/>
        <v>-9.8190852731492786</v>
      </c>
      <c r="U133" s="1"/>
    </row>
    <row r="134" spans="1:26">
      <c r="A134" s="3">
        <v>-0.5</v>
      </c>
      <c r="B134" s="12">
        <v>-0.5</v>
      </c>
      <c r="C134" s="12">
        <v>1</v>
      </c>
      <c r="D134" s="1">
        <f t="shared" si="137"/>
        <v>-19.530688052275295</v>
      </c>
      <c r="E134" s="1">
        <f t="shared" si="138"/>
        <v>2.3234693395914E-8</v>
      </c>
      <c r="F134" s="1">
        <f t="shared" si="139"/>
        <v>1.8695512154405383</v>
      </c>
      <c r="G134" s="1">
        <f t="shared" si="140"/>
        <v>0.84324799079171497</v>
      </c>
      <c r="H134" s="1">
        <f t="shared" si="141"/>
        <v>1.8647647753434908E-2</v>
      </c>
      <c r="I134" s="1">
        <f t="shared" si="142"/>
        <v>1.8647647753434909E-3</v>
      </c>
      <c r="J134" s="1">
        <f t="shared" si="143"/>
        <v>4.3327237810606461E-11</v>
      </c>
      <c r="K134" s="1">
        <f t="shared" si="144"/>
        <v>-9.8004376253958441</v>
      </c>
      <c r="L134" s="1">
        <f t="shared" si="145"/>
        <v>-2.0493914227296848E-7</v>
      </c>
      <c r="M134" s="1">
        <f t="shared" si="146"/>
        <v>-2.0493914227296848E-8</v>
      </c>
      <c r="N134" s="1">
        <f t="shared" si="147"/>
        <v>1.0246957113648424E-8</v>
      </c>
      <c r="O134" s="1">
        <f t="shared" si="148"/>
        <v>1.0246957113648424E-8</v>
      </c>
      <c r="P134" s="1">
        <f t="shared" si="149"/>
        <v>-14.04539104188542</v>
      </c>
      <c r="Q134" s="1">
        <f t="shared" si="150"/>
        <v>4.7212993914046004</v>
      </c>
      <c r="R134" s="1">
        <f t="shared" si="151"/>
        <v>6.2492946908568907</v>
      </c>
      <c r="S134" s="1">
        <f t="shared" si="152"/>
        <v>1.8714162083593175</v>
      </c>
      <c r="T134" s="1">
        <f t="shared" si="153"/>
        <v>-9.8190852731059515</v>
      </c>
      <c r="U134" s="1"/>
    </row>
    <row r="135" spans="1:26">
      <c r="A135" s="3">
        <v>-1</v>
      </c>
      <c r="B135" s="12">
        <v>-1</v>
      </c>
      <c r="C135" s="12">
        <v>0</v>
      </c>
      <c r="D135" s="1">
        <f t="shared" si="137"/>
        <v>-25.015985124146908</v>
      </c>
      <c r="E135" s="1">
        <f t="shared" si="138"/>
        <v>1.6677314971401596E-10</v>
      </c>
      <c r="F135" s="1">
        <f t="shared" si="139"/>
        <v>1.8714162067217577</v>
      </c>
      <c r="G135" s="1">
        <f t="shared" si="140"/>
        <v>0.84346972745232318</v>
      </c>
      <c r="H135" s="1">
        <f t="shared" si="141"/>
        <v>-0.10022587378531618</v>
      </c>
      <c r="I135" s="1">
        <f t="shared" si="142"/>
        <v>-1.0022587378531619E-2</v>
      </c>
      <c r="J135" s="1">
        <f t="shared" si="143"/>
        <v>-1.6714984654016603E-12</v>
      </c>
      <c r="K135" s="1">
        <f t="shared" si="144"/>
        <v>-9.9193111468912676</v>
      </c>
      <c r="L135" s="1">
        <f t="shared" si="145"/>
        <v>-1.4888472864160644E-9</v>
      </c>
      <c r="M135" s="1">
        <f t="shared" si="146"/>
        <v>-1.4888472864160646E-10</v>
      </c>
      <c r="N135" s="1">
        <f t="shared" si="147"/>
        <v>1.4888472864160646E-10</v>
      </c>
      <c r="O135" s="1">
        <f t="shared" si="148"/>
        <v>1.4888472864160646E-10</v>
      </c>
      <c r="P135" s="1">
        <f t="shared" si="149"/>
        <v>-14.045391042034305</v>
      </c>
      <c r="Q135" s="1">
        <f t="shared" si="150"/>
        <v>4.7212993915534849</v>
      </c>
      <c r="R135" s="1">
        <f t="shared" si="151"/>
        <v>6.2492946910057752</v>
      </c>
      <c r="S135" s="1">
        <f t="shared" si="152"/>
        <v>1.861393620980786</v>
      </c>
      <c r="T135" s="1">
        <f t="shared" si="153"/>
        <v>-9.819085273107623</v>
      </c>
      <c r="U135" s="1"/>
    </row>
    <row r="138" spans="1:26">
      <c r="A138" s="29" t="s">
        <v>0</v>
      </c>
      <c r="B138" s="29"/>
      <c r="C138" s="29"/>
      <c r="D138" s="29" t="s">
        <v>1</v>
      </c>
      <c r="E138" s="29"/>
      <c r="F138" s="30" t="s">
        <v>2</v>
      </c>
      <c r="G138" s="30"/>
      <c r="H138" s="29" t="s">
        <v>7</v>
      </c>
      <c r="I138" s="29"/>
      <c r="J138" s="29"/>
      <c r="K138" s="29" t="s">
        <v>11</v>
      </c>
      <c r="L138" s="29"/>
      <c r="M138" s="29"/>
      <c r="N138" s="29"/>
      <c r="O138" s="29"/>
      <c r="P138" s="29" t="s">
        <v>17</v>
      </c>
      <c r="Q138" s="29"/>
      <c r="R138" s="29"/>
      <c r="S138" s="29"/>
      <c r="T138" s="29"/>
      <c r="U138" s="4" t="s">
        <v>23</v>
      </c>
    </row>
    <row r="139" spans="1:26">
      <c r="A139" s="2" t="s">
        <v>25</v>
      </c>
      <c r="B139" s="2" t="s">
        <v>26</v>
      </c>
      <c r="C139" s="2" t="s">
        <v>27</v>
      </c>
      <c r="D139" s="2" t="s">
        <v>3</v>
      </c>
      <c r="E139" s="2" t="s">
        <v>4</v>
      </c>
      <c r="F139" s="2" t="s">
        <v>5</v>
      </c>
      <c r="G139" s="2" t="s">
        <v>6</v>
      </c>
      <c r="H139" s="2" t="s">
        <v>8</v>
      </c>
      <c r="I139" s="2" t="s">
        <v>9</v>
      </c>
      <c r="J139" s="2" t="s">
        <v>10</v>
      </c>
      <c r="K139" s="2" t="s">
        <v>12</v>
      </c>
      <c r="L139" s="2" t="s">
        <v>13</v>
      </c>
      <c r="M139" s="2" t="s">
        <v>14</v>
      </c>
      <c r="N139" s="2" t="s">
        <v>15</v>
      </c>
      <c r="O139" s="2" t="s">
        <v>16</v>
      </c>
      <c r="P139" s="2" t="s">
        <v>18</v>
      </c>
      <c r="Q139" s="2" t="s">
        <v>19</v>
      </c>
      <c r="R139" s="2" t="s">
        <v>20</v>
      </c>
      <c r="S139" s="2" t="s">
        <v>21</v>
      </c>
      <c r="T139" s="2" t="s">
        <v>22</v>
      </c>
      <c r="U139" s="2" t="s">
        <v>24</v>
      </c>
    </row>
    <row r="140" spans="1:26">
      <c r="A140" s="5"/>
      <c r="B140" s="5"/>
      <c r="C140" s="5"/>
      <c r="D140" s="6"/>
      <c r="E140" s="6"/>
      <c r="F140" s="6"/>
      <c r="G140" s="6"/>
      <c r="H140" s="6"/>
      <c r="I140" s="6"/>
      <c r="J140" s="6"/>
      <c r="K140" s="6"/>
      <c r="L140" s="6"/>
      <c r="M140" s="6"/>
      <c r="N140" s="6"/>
      <c r="O140" s="6"/>
      <c r="P140" s="19">
        <f>P135</f>
        <v>-14.045391042034305</v>
      </c>
      <c r="Q140" s="22">
        <f>Q135</f>
        <v>4.7212993915534849</v>
      </c>
      <c r="R140" s="22">
        <f>R135</f>
        <v>6.2492946910057752</v>
      </c>
      <c r="S140" s="22">
        <f>S135</f>
        <v>1.861393620980786</v>
      </c>
      <c r="T140" s="22">
        <f>T135</f>
        <v>-9.819085273107623</v>
      </c>
      <c r="U140" s="1"/>
      <c r="W140" s="31" t="s">
        <v>44</v>
      </c>
      <c r="X140" s="32"/>
      <c r="Y140" s="32"/>
      <c r="Z140" s="32"/>
    </row>
    <row r="141" spans="1:26">
      <c r="A141" s="3">
        <v>0.1</v>
      </c>
      <c r="B141" s="12">
        <v>0.1</v>
      </c>
      <c r="C141" s="12">
        <v>1</v>
      </c>
      <c r="D141" s="1">
        <f>P140+(Q140*A141)+(R140*B141)</f>
        <v>-12.94833163377838</v>
      </c>
      <c r="E141" s="1">
        <f>1/(1+EXP(-$B$15*D141))</f>
        <v>8.6885268198682273E-6</v>
      </c>
      <c r="F141" s="1">
        <f>S140+(T140*E141)</f>
        <v>1.8613083075950441</v>
      </c>
      <c r="G141" s="1">
        <f>1/(1+EXP(-$B$15*F141))</f>
        <v>0.84226489305268926</v>
      </c>
      <c r="H141" s="1">
        <f>(C141-G141)*$B$15*G141*(1-G141)</f>
        <v>1.8860271383682493E-2</v>
      </c>
      <c r="I141" s="1">
        <f>$B$16*H141</f>
        <v>1.8860271383682493E-3</v>
      </c>
      <c r="J141" s="1">
        <f>$B$16*H141*E141</f>
        <v>1.6386797374711859E-8</v>
      </c>
      <c r="K141" s="1">
        <f>H141+T140</f>
        <v>-9.8002250017239412</v>
      </c>
      <c r="L141" s="1">
        <f>K141*$B$15*E141*(1-E141)</f>
        <v>-7.6633900149917491E-5</v>
      </c>
      <c r="M141" s="1">
        <f>$B$16*L141</f>
        <v>-7.6633900149917491E-6</v>
      </c>
      <c r="N141" s="1">
        <f>$B$16*L141*A141</f>
        <v>-7.6633900149917493E-7</v>
      </c>
      <c r="O141" s="1">
        <f>$B$16*L141*B141</f>
        <v>-7.6633900149917493E-7</v>
      </c>
      <c r="P141" s="24">
        <f>P140+M141</f>
        <v>-14.04539870542432</v>
      </c>
      <c r="Q141" s="1">
        <f>Q140+N141</f>
        <v>4.7212986252144837</v>
      </c>
      <c r="R141" s="1">
        <f>R140+O141</f>
        <v>6.249293924666774</v>
      </c>
      <c r="S141" s="1">
        <f>S140+I141</f>
        <v>1.8632796481191543</v>
      </c>
      <c r="T141" s="1">
        <f>T140+J141</f>
        <v>-9.8190852567208253</v>
      </c>
      <c r="U141" s="1"/>
      <c r="W141" s="32"/>
      <c r="X141" s="32"/>
      <c r="Y141" s="32"/>
      <c r="Z141" s="32"/>
    </row>
    <row r="142" spans="1:26">
      <c r="A142" s="3">
        <v>0.5</v>
      </c>
      <c r="B142" s="12">
        <v>0.5</v>
      </c>
      <c r="C142" s="12">
        <v>1</v>
      </c>
      <c r="D142" s="1">
        <f t="shared" ref="D142:D150" si="154">P141+(Q141*A142)+(R141*B142)</f>
        <v>-8.5601024304836919</v>
      </c>
      <c r="E142" s="1">
        <f t="shared" ref="E142:E150" si="155">1/(1+EXP(-$B$15*D142))</f>
        <v>4.5077462613231188E-4</v>
      </c>
      <c r="F142" s="1">
        <f t="shared" ref="F142:F150" si="156">S141+(T141*E142)</f>
        <v>1.8588534536335946</v>
      </c>
      <c r="G142" s="1">
        <f t="shared" ref="G142:G150" si="157">1/(1+EXP(-$B$15*F142))</f>
        <v>0.84197114595086486</v>
      </c>
      <c r="H142" s="1">
        <f t="shared" ref="H142:H150" si="158">(C142-G142)*$B$15*G142*(1-G142)</f>
        <v>1.892398084198145E-2</v>
      </c>
      <c r="I142" s="1">
        <f t="shared" ref="I142:I150" si="159">$B$16*H142</f>
        <v>1.892398084198145E-3</v>
      </c>
      <c r="J142" s="1">
        <f t="shared" ref="J142:J150" si="160">$B$16*H142*E142</f>
        <v>8.5304503889792208E-7</v>
      </c>
      <c r="K142" s="1">
        <f t="shared" ref="K142:K150" si="161">H142+T141</f>
        <v>-9.8001612758788443</v>
      </c>
      <c r="L142" s="1">
        <f t="shared" ref="L142:L150" si="162">K142*$B$15*E142*(1-E142)</f>
        <v>-3.9741053978851332E-3</v>
      </c>
      <c r="M142" s="1">
        <f t="shared" ref="M142:M150" si="163">$B$16*L142</f>
        <v>-3.9741053978851332E-4</v>
      </c>
      <c r="N142" s="1">
        <f t="shared" ref="N142:N150" si="164">$B$16*L142*A142</f>
        <v>-1.9870526989425666E-4</v>
      </c>
      <c r="O142" s="1">
        <f t="shared" ref="O142:O150" si="165">$B$16*L142*B142</f>
        <v>-1.9870526989425666E-4</v>
      </c>
      <c r="P142" s="1">
        <f t="shared" ref="P142:P150" si="166">P141+M142</f>
        <v>-14.045796115964109</v>
      </c>
      <c r="Q142" s="1">
        <f t="shared" ref="Q142:Q150" si="167">Q141+N142</f>
        <v>4.7210999199445896</v>
      </c>
      <c r="R142" s="1">
        <f t="shared" ref="R142:R150" si="168">R141+O142</f>
        <v>6.2490952193968798</v>
      </c>
      <c r="S142" s="1">
        <f t="shared" ref="S142:S150" si="169">S141+I142</f>
        <v>1.8651720462033523</v>
      </c>
      <c r="T142" s="1">
        <f t="shared" ref="T142:T150" si="170">T141+J142</f>
        <v>-9.8190844036757863</v>
      </c>
      <c r="U142" s="1"/>
      <c r="W142" s="32"/>
      <c r="X142" s="32"/>
      <c r="Y142" s="32"/>
      <c r="Z142" s="32"/>
    </row>
    <row r="143" spans="1:26">
      <c r="A143" s="3">
        <v>0.9</v>
      </c>
      <c r="B143" s="12">
        <v>0.1</v>
      </c>
      <c r="C143" s="12">
        <v>1</v>
      </c>
      <c r="D143" s="1">
        <f t="shared" si="154"/>
        <v>-9.1718966660742893</v>
      </c>
      <c r="E143" s="1">
        <f t="shared" si="155"/>
        <v>2.5996410416924312E-4</v>
      </c>
      <c r="F143" s="1">
        <f t="shared" si="156"/>
        <v>1.8626194367225886</v>
      </c>
      <c r="G143" s="1">
        <f t="shared" si="157"/>
        <v>0.84242160049473036</v>
      </c>
      <c r="H143" s="1">
        <f t="shared" si="158"/>
        <v>1.8826317285988277E-2</v>
      </c>
      <c r="I143" s="1">
        <f t="shared" si="159"/>
        <v>1.8826317285988278E-3</v>
      </c>
      <c r="J143" s="1">
        <f t="shared" si="160"/>
        <v>4.8941667080578788E-7</v>
      </c>
      <c r="K143" s="1">
        <f t="shared" si="161"/>
        <v>-9.8002580863897979</v>
      </c>
      <c r="L143" s="1">
        <f t="shared" si="162"/>
        <v>-2.2923476995737671E-3</v>
      </c>
      <c r="M143" s="1">
        <f t="shared" si="163"/>
        <v>-2.2923476995737673E-4</v>
      </c>
      <c r="N143" s="1">
        <f t="shared" si="164"/>
        <v>-2.0631129296163906E-4</v>
      </c>
      <c r="O143" s="1">
        <f t="shared" si="165"/>
        <v>-2.2923476995737675E-5</v>
      </c>
      <c r="P143" s="1">
        <f t="shared" si="166"/>
        <v>-14.046025350734066</v>
      </c>
      <c r="Q143" s="1">
        <f t="shared" si="167"/>
        <v>4.720893608651628</v>
      </c>
      <c r="R143" s="1">
        <f t="shared" si="168"/>
        <v>6.2490722959198841</v>
      </c>
      <c r="S143" s="1">
        <f t="shared" si="169"/>
        <v>1.8670546779319512</v>
      </c>
      <c r="T143" s="1">
        <f t="shared" si="170"/>
        <v>-9.8190839142591155</v>
      </c>
      <c r="U143" s="1"/>
    </row>
    <row r="144" spans="1:26">
      <c r="A144" s="3">
        <v>0.2</v>
      </c>
      <c r="B144" s="12">
        <v>0.8</v>
      </c>
      <c r="C144" s="12">
        <v>1</v>
      </c>
      <c r="D144" s="1">
        <f t="shared" si="154"/>
        <v>-8.1025887922678326</v>
      </c>
      <c r="E144" s="1">
        <f t="shared" si="155"/>
        <v>6.8027704640696862E-4</v>
      </c>
      <c r="F144" s="1">
        <f t="shared" si="156"/>
        <v>1.8603749805283369</v>
      </c>
      <c r="G144" s="1">
        <f t="shared" si="157"/>
        <v>0.84215326373094801</v>
      </c>
      <c r="H144" s="1">
        <f t="shared" si="158"/>
        <v>1.8884472522820543E-2</v>
      </c>
      <c r="I144" s="1">
        <f t="shared" si="159"/>
        <v>1.8884472522820543E-3</v>
      </c>
      <c r="J144" s="1">
        <f t="shared" si="160"/>
        <v>1.2846673190777914E-6</v>
      </c>
      <c r="K144" s="1">
        <f t="shared" si="161"/>
        <v>-9.8001994417362948</v>
      </c>
      <c r="L144" s="1">
        <f t="shared" si="162"/>
        <v>-5.9960838824098753E-3</v>
      </c>
      <c r="M144" s="1">
        <f t="shared" si="163"/>
        <v>-5.996083882409876E-4</v>
      </c>
      <c r="N144" s="1">
        <f t="shared" si="164"/>
        <v>-1.1992167764819753E-4</v>
      </c>
      <c r="O144" s="1">
        <f t="shared" si="165"/>
        <v>-4.7968671059279012E-4</v>
      </c>
      <c r="P144" s="1">
        <f t="shared" si="166"/>
        <v>-14.046624959122306</v>
      </c>
      <c r="Q144" s="1">
        <f t="shared" si="167"/>
        <v>4.7207736869739794</v>
      </c>
      <c r="R144" s="1">
        <f t="shared" si="168"/>
        <v>6.2485926092092914</v>
      </c>
      <c r="S144" s="1">
        <f t="shared" si="169"/>
        <v>1.8689431251842332</v>
      </c>
      <c r="T144" s="1">
        <f t="shared" si="170"/>
        <v>-9.8190826295917972</v>
      </c>
      <c r="U144" s="1">
        <f>(((C141-G141)^2 + (C142-G142)^2 + (C143-G143)^2 + (C144-G144)^2 + (C145-G145)^2 + (C146-G146)^2 + (C147-G147)^2 + (C148-G148)^2 + (C149-G149)^2 + (C150-G150)^2)/4)</f>
        <v>0.70549684832468484</v>
      </c>
    </row>
    <row r="145" spans="1:21">
      <c r="A145" s="3">
        <v>0.6</v>
      </c>
      <c r="B145" s="12">
        <v>0.9</v>
      </c>
      <c r="C145" s="12">
        <v>0</v>
      </c>
      <c r="D145" s="1">
        <f t="shared" si="154"/>
        <v>-5.590427398649557</v>
      </c>
      <c r="E145" s="1">
        <f t="shared" si="155"/>
        <v>6.4874016206592638E-3</v>
      </c>
      <c r="F145" s="1">
        <f t="shared" si="156"/>
        <v>1.8052427926196322</v>
      </c>
      <c r="G145" s="1">
        <f t="shared" si="157"/>
        <v>0.83544484288649201</v>
      </c>
      <c r="H145" s="1">
        <f t="shared" si="158"/>
        <v>-0.10336882317353478</v>
      </c>
      <c r="I145" s="1">
        <f t="shared" si="159"/>
        <v>-1.0336882317353479E-2</v>
      </c>
      <c r="J145" s="1">
        <f t="shared" si="160"/>
        <v>-6.7059507098163044E-5</v>
      </c>
      <c r="K145" s="1">
        <f t="shared" si="161"/>
        <v>-9.9224514527653316</v>
      </c>
      <c r="L145" s="1">
        <f t="shared" si="162"/>
        <v>-5.7557994817784633E-2</v>
      </c>
      <c r="M145" s="1">
        <f t="shared" si="163"/>
        <v>-5.7557994817784633E-3</v>
      </c>
      <c r="N145" s="1">
        <f t="shared" si="164"/>
        <v>-3.4534796890670779E-3</v>
      </c>
      <c r="O145" s="1">
        <f t="shared" si="165"/>
        <v>-5.1802195336006175E-3</v>
      </c>
      <c r="P145" s="1">
        <f t="shared" si="166"/>
        <v>-14.052380758604086</v>
      </c>
      <c r="Q145" s="1">
        <f t="shared" si="167"/>
        <v>4.7173202072849119</v>
      </c>
      <c r="R145" s="1">
        <f t="shared" si="168"/>
        <v>6.243412389675691</v>
      </c>
      <c r="S145" s="1">
        <f t="shared" si="169"/>
        <v>1.8586062428668797</v>
      </c>
      <c r="T145" s="1">
        <f t="shared" si="170"/>
        <v>-9.8191496890988947</v>
      </c>
      <c r="U145" s="1"/>
    </row>
    <row r="146" spans="1:21">
      <c r="A146" s="3">
        <v>1</v>
      </c>
      <c r="B146" s="12">
        <v>1</v>
      </c>
      <c r="C146" s="12">
        <v>0</v>
      </c>
      <c r="D146" s="1">
        <f t="shared" si="154"/>
        <v>-3.0916481616434828</v>
      </c>
      <c r="E146" s="1">
        <f t="shared" si="155"/>
        <v>5.8278115532653177E-2</v>
      </c>
      <c r="F146" s="1">
        <f t="shared" si="156"/>
        <v>1.2863647028531586</v>
      </c>
      <c r="G146" s="1">
        <f t="shared" si="157"/>
        <v>0.76091967782255454</v>
      </c>
      <c r="H146" s="1">
        <f t="shared" si="158"/>
        <v>-0.12458448823333466</v>
      </c>
      <c r="I146" s="1">
        <f t="shared" si="159"/>
        <v>-1.2458448823333468E-2</v>
      </c>
      <c r="J146" s="1">
        <f t="shared" si="160"/>
        <v>-7.2605491988387487E-4</v>
      </c>
      <c r="K146" s="1">
        <f t="shared" si="161"/>
        <v>-9.9437341773322299</v>
      </c>
      <c r="L146" s="1">
        <f t="shared" si="162"/>
        <v>-0.49115681955541463</v>
      </c>
      <c r="M146" s="1">
        <f t="shared" si="163"/>
        <v>-4.9115681955541467E-2</v>
      </c>
      <c r="N146" s="1">
        <f t="shared" si="164"/>
        <v>-4.9115681955541467E-2</v>
      </c>
      <c r="O146" s="1">
        <f t="shared" si="165"/>
        <v>-4.9115681955541467E-2</v>
      </c>
      <c r="P146" s="1">
        <f t="shared" si="166"/>
        <v>-14.101496440559627</v>
      </c>
      <c r="Q146" s="1">
        <f t="shared" si="167"/>
        <v>4.6682045253293705</v>
      </c>
      <c r="R146" s="1">
        <f t="shared" si="168"/>
        <v>6.1942967077201496</v>
      </c>
      <c r="S146" s="1">
        <f t="shared" si="169"/>
        <v>1.8461477940435462</v>
      </c>
      <c r="T146" s="1">
        <f t="shared" si="170"/>
        <v>-9.8198757440187787</v>
      </c>
      <c r="U146" s="1"/>
    </row>
    <row r="147" spans="1:21">
      <c r="A147" s="3">
        <v>0.3</v>
      </c>
      <c r="B147" s="12">
        <v>1.2</v>
      </c>
      <c r="C147" s="12">
        <v>0</v>
      </c>
      <c r="D147" s="1">
        <f t="shared" si="154"/>
        <v>-5.2678790336966372</v>
      </c>
      <c r="E147" s="1">
        <f t="shared" si="155"/>
        <v>8.653578291634054E-3</v>
      </c>
      <c r="F147" s="1">
        <f t="shared" si="156"/>
        <v>1.7611707304785615</v>
      </c>
      <c r="G147" s="1">
        <f t="shared" si="157"/>
        <v>0.8299190488286704</v>
      </c>
      <c r="H147" s="1">
        <f t="shared" si="158"/>
        <v>-0.10543132177002267</v>
      </c>
      <c r="I147" s="1">
        <f t="shared" si="159"/>
        <v>-1.0543132177002267E-2</v>
      </c>
      <c r="J147" s="1">
        <f t="shared" si="160"/>
        <v>-9.1235819732735307E-5</v>
      </c>
      <c r="K147" s="1">
        <f t="shared" si="161"/>
        <v>-9.9253070657888021</v>
      </c>
      <c r="L147" s="1">
        <f t="shared" si="162"/>
        <v>-7.6631553834001859E-2</v>
      </c>
      <c r="M147" s="1">
        <f t="shared" si="163"/>
        <v>-7.6631553834001862E-3</v>
      </c>
      <c r="N147" s="1">
        <f t="shared" si="164"/>
        <v>-2.2989466150200558E-3</v>
      </c>
      <c r="O147" s="1">
        <f t="shared" si="165"/>
        <v>-9.1957864600802231E-3</v>
      </c>
      <c r="P147" s="1">
        <f t="shared" si="166"/>
        <v>-14.109159595943026</v>
      </c>
      <c r="Q147" s="1">
        <f t="shared" si="167"/>
        <v>4.6659055787143506</v>
      </c>
      <c r="R147" s="1">
        <f t="shared" si="168"/>
        <v>6.1851009212600694</v>
      </c>
      <c r="S147" s="1">
        <f t="shared" si="169"/>
        <v>1.835604661866544</v>
      </c>
      <c r="T147" s="1">
        <f t="shared" si="170"/>
        <v>-9.8199669798385116</v>
      </c>
      <c r="U147" s="1"/>
    </row>
    <row r="148" spans="1:21">
      <c r="A148" s="3">
        <v>-0.1</v>
      </c>
      <c r="B148" s="12">
        <v>-0.1</v>
      </c>
      <c r="C148" s="12">
        <v>1</v>
      </c>
      <c r="D148" s="1">
        <f t="shared" si="154"/>
        <v>-15.194260245940468</v>
      </c>
      <c r="E148" s="1">
        <f t="shared" si="155"/>
        <v>1.1510507093735863E-6</v>
      </c>
      <c r="F148" s="1">
        <f t="shared" si="156"/>
        <v>1.8355933585865858</v>
      </c>
      <c r="G148" s="1">
        <f t="shared" si="157"/>
        <v>0.83916576494538975</v>
      </c>
      <c r="H148" s="1">
        <f t="shared" si="158"/>
        <v>1.9536522549950329E-2</v>
      </c>
      <c r="I148" s="1">
        <f t="shared" si="159"/>
        <v>1.9536522549950331E-3</v>
      </c>
      <c r="J148" s="1">
        <f t="shared" si="160"/>
        <v>2.2487528139813394E-9</v>
      </c>
      <c r="K148" s="1">
        <f t="shared" si="161"/>
        <v>-9.8004304572885612</v>
      </c>
      <c r="L148" s="1">
        <f t="shared" si="162"/>
        <v>-1.0152701500737933E-5</v>
      </c>
      <c r="M148" s="1">
        <f t="shared" si="163"/>
        <v>-1.0152701500737933E-6</v>
      </c>
      <c r="N148" s="1">
        <f t="shared" si="164"/>
        <v>1.0152701500737933E-7</v>
      </c>
      <c r="O148" s="1">
        <f t="shared" si="165"/>
        <v>1.0152701500737933E-7</v>
      </c>
      <c r="P148" s="1">
        <f t="shared" si="166"/>
        <v>-14.109160611213177</v>
      </c>
      <c r="Q148" s="1">
        <f t="shared" si="167"/>
        <v>4.6659056802413659</v>
      </c>
      <c r="R148" s="1">
        <f t="shared" si="168"/>
        <v>6.1851010227870846</v>
      </c>
      <c r="S148" s="1">
        <f t="shared" si="169"/>
        <v>1.837558314121539</v>
      </c>
      <c r="T148" s="1">
        <f t="shared" si="170"/>
        <v>-9.8199669775897593</v>
      </c>
      <c r="U148" s="1"/>
    </row>
    <row r="149" spans="1:21">
      <c r="A149" s="3">
        <v>-0.5</v>
      </c>
      <c r="B149" s="12">
        <v>-0.5</v>
      </c>
      <c r="C149" s="12">
        <v>1</v>
      </c>
      <c r="D149" s="1">
        <f t="shared" si="154"/>
        <v>-19.534663962727404</v>
      </c>
      <c r="E149" s="1">
        <f t="shared" si="155"/>
        <v>2.3151700819076788E-8</v>
      </c>
      <c r="F149" s="1">
        <f t="shared" si="156"/>
        <v>1.8375580867726016</v>
      </c>
      <c r="G149" s="1">
        <f t="shared" si="157"/>
        <v>0.83940427722625421</v>
      </c>
      <c r="H149" s="1">
        <f t="shared" si="158"/>
        <v>1.9484157696917016E-2</v>
      </c>
      <c r="I149" s="1">
        <f t="shared" si="159"/>
        <v>1.9484157696917016E-3</v>
      </c>
      <c r="J149" s="1">
        <f t="shared" si="160"/>
        <v>4.5109138971073501E-11</v>
      </c>
      <c r="K149" s="1">
        <f t="shared" si="161"/>
        <v>-9.8004828198928422</v>
      </c>
      <c r="L149" s="1">
        <f t="shared" si="162"/>
        <v>-2.0420805678803106E-7</v>
      </c>
      <c r="M149" s="1">
        <f t="shared" si="163"/>
        <v>-2.0420805678803107E-8</v>
      </c>
      <c r="N149" s="1">
        <f t="shared" si="164"/>
        <v>1.0210402839401553E-8</v>
      </c>
      <c r="O149" s="1">
        <f t="shared" si="165"/>
        <v>1.0210402839401553E-8</v>
      </c>
      <c r="P149" s="1">
        <f t="shared" si="166"/>
        <v>-14.109160631633983</v>
      </c>
      <c r="Q149" s="1">
        <f t="shared" si="167"/>
        <v>4.6659056904517691</v>
      </c>
      <c r="R149" s="1">
        <f t="shared" si="168"/>
        <v>6.1851010329974878</v>
      </c>
      <c r="S149" s="1">
        <f t="shared" si="169"/>
        <v>1.8395067298912307</v>
      </c>
      <c r="T149" s="1">
        <f t="shared" si="170"/>
        <v>-9.8199669775446505</v>
      </c>
      <c r="U149" s="1"/>
    </row>
    <row r="150" spans="1:21">
      <c r="A150" s="3">
        <v>-1</v>
      </c>
      <c r="B150" s="12">
        <v>-1</v>
      </c>
      <c r="C150" s="12">
        <v>0</v>
      </c>
      <c r="D150" s="1">
        <f t="shared" si="154"/>
        <v>-24.960167355083239</v>
      </c>
      <c r="E150" s="1">
        <f t="shared" si="155"/>
        <v>1.7536517186679364E-10</v>
      </c>
      <c r="F150" s="1">
        <f t="shared" si="156"/>
        <v>1.8395067281691504</v>
      </c>
      <c r="G150" s="1">
        <f t="shared" si="157"/>
        <v>0.83964055400559279</v>
      </c>
      <c r="H150" s="1">
        <f t="shared" si="158"/>
        <v>-0.10174752870357169</v>
      </c>
      <c r="I150" s="1">
        <f t="shared" si="159"/>
        <v>-1.017475287035717E-2</v>
      </c>
      <c r="J150" s="1">
        <f t="shared" si="160"/>
        <v>-1.7842972858123371E-12</v>
      </c>
      <c r="K150" s="1">
        <f t="shared" si="161"/>
        <v>-9.9217145062482217</v>
      </c>
      <c r="L150" s="1">
        <f t="shared" si="162"/>
        <v>-1.5659308523667216E-9</v>
      </c>
      <c r="M150" s="1">
        <f t="shared" si="163"/>
        <v>-1.5659308523667216E-10</v>
      </c>
      <c r="N150" s="1">
        <f t="shared" si="164"/>
        <v>1.5659308523667216E-10</v>
      </c>
      <c r="O150" s="1">
        <f t="shared" si="165"/>
        <v>1.5659308523667216E-10</v>
      </c>
      <c r="P150" s="1">
        <f t="shared" si="166"/>
        <v>-14.109160631790576</v>
      </c>
      <c r="Q150" s="1">
        <f t="shared" si="167"/>
        <v>4.665905690608362</v>
      </c>
      <c r="R150" s="1">
        <f t="shared" si="168"/>
        <v>6.1851010331540808</v>
      </c>
      <c r="S150" s="1">
        <f t="shared" si="169"/>
        <v>1.8293319770208736</v>
      </c>
      <c r="T150" s="1">
        <f t="shared" si="170"/>
        <v>-9.819966977546434</v>
      </c>
      <c r="U150" s="1"/>
    </row>
    <row r="153" spans="1:21">
      <c r="A153" s="33" t="s">
        <v>46</v>
      </c>
      <c r="B153" s="34"/>
      <c r="C153" s="34"/>
      <c r="D153" s="34"/>
      <c r="E153" s="34"/>
    </row>
    <row r="154" spans="1:21">
      <c r="A154" s="34"/>
      <c r="B154" s="34"/>
      <c r="C154" s="34"/>
      <c r="D154" s="34"/>
      <c r="E154" s="34"/>
    </row>
    <row r="155" spans="1:21">
      <c r="A155" s="34"/>
      <c r="B155" s="34"/>
      <c r="C155" s="34"/>
      <c r="D155" s="34"/>
      <c r="E155" s="34"/>
    </row>
    <row r="156" spans="1:21">
      <c r="A156" s="34"/>
      <c r="B156" s="34"/>
      <c r="C156" s="34"/>
      <c r="D156" s="34"/>
      <c r="E156" s="34"/>
    </row>
    <row r="158" spans="1:21" ht="14.4" customHeight="1">
      <c r="A158" s="35" t="s">
        <v>47</v>
      </c>
      <c r="B158" s="35"/>
      <c r="C158" s="35"/>
      <c r="D158" s="35"/>
      <c r="E158" s="35"/>
      <c r="F158" s="35"/>
      <c r="G158" s="35"/>
      <c r="H158" s="35"/>
      <c r="I158" s="35"/>
      <c r="J158" s="35"/>
      <c r="K158" s="35"/>
      <c r="L158" s="35"/>
      <c r="M158" s="35"/>
      <c r="N158" s="35"/>
      <c r="O158" s="35"/>
      <c r="P158" s="35"/>
      <c r="Q158" s="35"/>
      <c r="R158" s="35"/>
      <c r="S158" s="35"/>
      <c r="T158" s="35"/>
      <c r="U158" s="35"/>
    </row>
    <row r="159" spans="1:21" ht="14.4" customHeight="1">
      <c r="A159" s="36"/>
      <c r="B159" s="36"/>
      <c r="C159" s="36"/>
      <c r="D159" s="36"/>
      <c r="E159" s="36"/>
      <c r="F159" s="36"/>
      <c r="G159" s="36"/>
      <c r="H159" s="36"/>
      <c r="I159" s="36"/>
      <c r="J159" s="36"/>
      <c r="K159" s="36"/>
      <c r="L159" s="36"/>
      <c r="M159" s="36"/>
      <c r="N159" s="36"/>
      <c r="O159" s="36"/>
      <c r="P159" s="36"/>
      <c r="Q159" s="36"/>
      <c r="R159" s="36"/>
      <c r="S159" s="36"/>
      <c r="T159" s="36"/>
      <c r="U159" s="36"/>
    </row>
    <row r="160" spans="1:21" ht="14.4" customHeight="1">
      <c r="A160" s="36"/>
      <c r="B160" s="36"/>
      <c r="C160" s="36"/>
      <c r="D160" s="36"/>
      <c r="E160" s="36"/>
      <c r="F160" s="36"/>
      <c r="G160" s="36"/>
      <c r="H160" s="36"/>
      <c r="I160" s="36"/>
      <c r="J160" s="36"/>
      <c r="K160" s="36"/>
      <c r="L160" s="36"/>
      <c r="M160" s="36"/>
      <c r="N160" s="36"/>
      <c r="O160" s="36"/>
      <c r="P160" s="36"/>
      <c r="Q160" s="36"/>
      <c r="R160" s="36"/>
      <c r="S160" s="36"/>
      <c r="T160" s="36"/>
      <c r="U160" s="36"/>
    </row>
    <row r="161" spans="1:21" ht="14.4" customHeight="1">
      <c r="A161" s="36"/>
      <c r="B161" s="36"/>
      <c r="C161" s="36"/>
      <c r="D161" s="36"/>
      <c r="E161" s="36"/>
      <c r="F161" s="36"/>
      <c r="G161" s="36"/>
      <c r="H161" s="36"/>
      <c r="I161" s="36"/>
      <c r="J161" s="36"/>
      <c r="K161" s="36"/>
      <c r="L161" s="36"/>
      <c r="M161" s="36"/>
      <c r="N161" s="36"/>
      <c r="O161" s="36"/>
      <c r="P161" s="36"/>
      <c r="Q161" s="36"/>
      <c r="R161" s="36"/>
      <c r="S161" s="36"/>
      <c r="T161" s="36"/>
      <c r="U161" s="36"/>
    </row>
    <row r="162" spans="1:21" ht="14.4" customHeight="1">
      <c r="A162" s="36"/>
      <c r="B162" s="36"/>
      <c r="C162" s="36"/>
      <c r="D162" s="36"/>
      <c r="E162" s="36"/>
      <c r="F162" s="36"/>
      <c r="G162" s="36"/>
      <c r="H162" s="36"/>
      <c r="I162" s="36"/>
      <c r="J162" s="36"/>
      <c r="K162" s="36"/>
      <c r="L162" s="36"/>
      <c r="M162" s="36"/>
      <c r="N162" s="36"/>
      <c r="O162" s="36"/>
      <c r="P162" s="36"/>
      <c r="Q162" s="36"/>
      <c r="R162" s="36"/>
      <c r="S162" s="36"/>
      <c r="T162" s="36"/>
      <c r="U162" s="36"/>
    </row>
    <row r="163" spans="1:21" ht="14.4" customHeight="1">
      <c r="A163" s="36"/>
      <c r="B163" s="36"/>
      <c r="C163" s="36"/>
      <c r="D163" s="36"/>
      <c r="E163" s="36"/>
      <c r="F163" s="36"/>
      <c r="G163" s="36"/>
      <c r="H163" s="36"/>
      <c r="I163" s="36"/>
      <c r="J163" s="36"/>
      <c r="K163" s="36"/>
      <c r="L163" s="36"/>
      <c r="M163" s="36"/>
      <c r="N163" s="36"/>
      <c r="O163" s="36"/>
      <c r="P163" s="36"/>
      <c r="Q163" s="36"/>
      <c r="R163" s="36"/>
      <c r="S163" s="36"/>
      <c r="T163" s="36"/>
      <c r="U163" s="36"/>
    </row>
    <row r="164" spans="1:21" ht="14.4" customHeight="1">
      <c r="A164" s="36"/>
      <c r="B164" s="36"/>
      <c r="C164" s="36"/>
      <c r="D164" s="36"/>
      <c r="E164" s="36"/>
      <c r="F164" s="36"/>
      <c r="G164" s="36"/>
      <c r="H164" s="36"/>
      <c r="I164" s="36"/>
      <c r="J164" s="36"/>
      <c r="K164" s="36"/>
      <c r="L164" s="36"/>
      <c r="M164" s="36"/>
      <c r="N164" s="36"/>
      <c r="O164" s="36"/>
      <c r="P164" s="36"/>
      <c r="Q164" s="36"/>
      <c r="R164" s="36"/>
      <c r="S164" s="36"/>
      <c r="T164" s="36"/>
      <c r="U164" s="36"/>
    </row>
    <row r="165" spans="1:21" ht="14.4" customHeight="1">
      <c r="A165" s="36"/>
      <c r="B165" s="36"/>
      <c r="C165" s="36"/>
      <c r="D165" s="36"/>
      <c r="E165" s="36"/>
      <c r="F165" s="36"/>
      <c r="G165" s="36"/>
      <c r="H165" s="36"/>
      <c r="I165" s="36"/>
      <c r="J165" s="36"/>
      <c r="K165" s="36"/>
      <c r="L165" s="36"/>
      <c r="M165" s="36"/>
      <c r="N165" s="36"/>
      <c r="O165" s="36"/>
      <c r="P165" s="36"/>
      <c r="Q165" s="36"/>
      <c r="R165" s="36"/>
      <c r="S165" s="36"/>
      <c r="T165" s="36"/>
      <c r="U165" s="36"/>
    </row>
    <row r="166" spans="1:21" ht="14.4" customHeight="1">
      <c r="A166" s="36"/>
      <c r="B166" s="36"/>
      <c r="C166" s="36"/>
      <c r="D166" s="36"/>
      <c r="E166" s="36"/>
      <c r="F166" s="36"/>
      <c r="G166" s="36"/>
      <c r="H166" s="36"/>
      <c r="I166" s="36"/>
      <c r="J166" s="36"/>
      <c r="K166" s="36"/>
      <c r="L166" s="36"/>
      <c r="M166" s="36"/>
      <c r="N166" s="36"/>
      <c r="O166" s="36"/>
      <c r="P166" s="36"/>
      <c r="Q166" s="36"/>
      <c r="R166" s="36"/>
      <c r="S166" s="36"/>
      <c r="T166" s="36"/>
      <c r="U166" s="36"/>
    </row>
    <row r="167" spans="1:21" ht="14.4" customHeight="1">
      <c r="A167" s="36"/>
      <c r="B167" s="36"/>
      <c r="C167" s="36"/>
      <c r="D167" s="36"/>
      <c r="E167" s="36"/>
      <c r="F167" s="36"/>
      <c r="G167" s="36"/>
      <c r="H167" s="36"/>
      <c r="I167" s="36"/>
      <c r="J167" s="36"/>
      <c r="K167" s="36"/>
      <c r="L167" s="36"/>
      <c r="M167" s="36"/>
      <c r="N167" s="36"/>
      <c r="O167" s="36"/>
      <c r="P167" s="36"/>
      <c r="Q167" s="36"/>
      <c r="R167" s="36"/>
      <c r="S167" s="36"/>
      <c r="T167" s="36"/>
      <c r="U167" s="36"/>
    </row>
    <row r="168" spans="1:21" ht="14.4" customHeight="1">
      <c r="A168" s="36"/>
      <c r="B168" s="36"/>
      <c r="C168" s="36"/>
      <c r="D168" s="36"/>
      <c r="E168" s="36"/>
      <c r="F168" s="36"/>
      <c r="G168" s="36"/>
      <c r="H168" s="36"/>
      <c r="I168" s="36"/>
      <c r="J168" s="36"/>
      <c r="K168" s="36"/>
      <c r="L168" s="36"/>
      <c r="M168" s="36"/>
      <c r="N168" s="36"/>
      <c r="O168" s="36"/>
      <c r="P168" s="36"/>
      <c r="Q168" s="36"/>
      <c r="R168" s="36"/>
      <c r="S168" s="36"/>
      <c r="T168" s="36"/>
      <c r="U168" s="36"/>
    </row>
    <row r="169" spans="1:21" ht="14.4" customHeight="1">
      <c r="A169" s="36"/>
      <c r="B169" s="36"/>
      <c r="C169" s="36"/>
      <c r="D169" s="36"/>
      <c r="E169" s="36"/>
      <c r="F169" s="36"/>
      <c r="G169" s="36"/>
      <c r="H169" s="36"/>
      <c r="I169" s="36"/>
      <c r="J169" s="36"/>
      <c r="K169" s="36"/>
      <c r="L169" s="36"/>
      <c r="M169" s="36"/>
      <c r="N169" s="36"/>
      <c r="O169" s="36"/>
      <c r="P169" s="36"/>
      <c r="Q169" s="36"/>
      <c r="R169" s="36"/>
      <c r="S169" s="36"/>
      <c r="T169" s="36"/>
      <c r="U169" s="36"/>
    </row>
    <row r="170" spans="1:21" ht="14.4" customHeight="1">
      <c r="A170" s="36"/>
      <c r="B170" s="36"/>
      <c r="C170" s="36"/>
      <c r="D170" s="36"/>
      <c r="E170" s="36"/>
      <c r="F170" s="36"/>
      <c r="G170" s="36"/>
      <c r="H170" s="36"/>
      <c r="I170" s="36"/>
      <c r="J170" s="36"/>
      <c r="K170" s="36"/>
      <c r="L170" s="36"/>
      <c r="M170" s="36"/>
      <c r="N170" s="36"/>
      <c r="O170" s="36"/>
      <c r="P170" s="36"/>
      <c r="Q170" s="36"/>
      <c r="R170" s="36"/>
      <c r="S170" s="36"/>
      <c r="T170" s="36"/>
      <c r="U170" s="36"/>
    </row>
    <row r="171" spans="1:21" ht="14.4" customHeight="1">
      <c r="A171" s="36"/>
      <c r="B171" s="36"/>
      <c r="C171" s="36"/>
      <c r="D171" s="36"/>
      <c r="E171" s="36"/>
      <c r="F171" s="36"/>
      <c r="G171" s="36"/>
      <c r="H171" s="36"/>
      <c r="I171" s="36"/>
      <c r="J171" s="36"/>
      <c r="K171" s="36"/>
      <c r="L171" s="36"/>
      <c r="M171" s="36"/>
      <c r="N171" s="36"/>
      <c r="O171" s="36"/>
      <c r="P171" s="36"/>
      <c r="Q171" s="36"/>
      <c r="R171" s="36"/>
      <c r="S171" s="36"/>
      <c r="T171" s="36"/>
      <c r="U171" s="36"/>
    </row>
    <row r="172" spans="1:21" ht="14.4" customHeight="1">
      <c r="A172" s="36"/>
      <c r="B172" s="36"/>
      <c r="C172" s="36"/>
      <c r="D172" s="36"/>
      <c r="E172" s="36"/>
      <c r="F172" s="36"/>
      <c r="G172" s="36"/>
      <c r="H172" s="36"/>
      <c r="I172" s="36"/>
      <c r="J172" s="36"/>
      <c r="K172" s="36"/>
      <c r="L172" s="36"/>
      <c r="M172" s="36"/>
      <c r="N172" s="36"/>
      <c r="O172" s="36"/>
      <c r="P172" s="36"/>
      <c r="Q172" s="36"/>
      <c r="R172" s="36"/>
      <c r="S172" s="36"/>
      <c r="T172" s="36"/>
      <c r="U172" s="36"/>
    </row>
    <row r="173" spans="1:21" ht="14.4" customHeight="1">
      <c r="A173" s="36"/>
      <c r="B173" s="36"/>
      <c r="C173" s="36"/>
      <c r="D173" s="36"/>
      <c r="E173" s="36"/>
      <c r="F173" s="36"/>
      <c r="G173" s="36"/>
      <c r="H173" s="36"/>
      <c r="I173" s="36"/>
      <c r="J173" s="36"/>
      <c r="K173" s="36"/>
      <c r="L173" s="36"/>
      <c r="M173" s="36"/>
      <c r="N173" s="36"/>
      <c r="O173" s="36"/>
      <c r="P173" s="36"/>
      <c r="Q173" s="36"/>
      <c r="R173" s="36"/>
      <c r="S173" s="36"/>
      <c r="T173" s="36"/>
      <c r="U173" s="36"/>
    </row>
    <row r="174" spans="1:21" ht="14.4" customHeight="1">
      <c r="A174" s="36"/>
      <c r="B174" s="36"/>
      <c r="C174" s="36"/>
      <c r="D174" s="36"/>
      <c r="E174" s="36"/>
      <c r="F174" s="36"/>
      <c r="G174" s="36"/>
      <c r="H174" s="36"/>
      <c r="I174" s="36"/>
      <c r="J174" s="36"/>
      <c r="K174" s="36"/>
      <c r="L174" s="36"/>
      <c r="M174" s="36"/>
      <c r="N174" s="36"/>
      <c r="O174" s="36"/>
      <c r="P174" s="36"/>
      <c r="Q174" s="36"/>
      <c r="R174" s="36"/>
      <c r="S174" s="36"/>
      <c r="T174" s="36"/>
      <c r="U174" s="36"/>
    </row>
    <row r="175" spans="1:21" ht="14.4" customHeight="1">
      <c r="A175" s="36"/>
      <c r="B175" s="36"/>
      <c r="C175" s="36"/>
      <c r="D175" s="36"/>
      <c r="E175" s="36"/>
      <c r="F175" s="36"/>
      <c r="G175" s="36"/>
      <c r="H175" s="36"/>
      <c r="I175" s="36"/>
      <c r="J175" s="36"/>
      <c r="K175" s="36"/>
      <c r="L175" s="36"/>
      <c r="M175" s="36"/>
      <c r="N175" s="36"/>
      <c r="O175" s="36"/>
      <c r="P175" s="36"/>
      <c r="Q175" s="36"/>
      <c r="R175" s="36"/>
      <c r="S175" s="36"/>
      <c r="T175" s="36"/>
      <c r="U175" s="36"/>
    </row>
    <row r="176" spans="1:21" ht="14.4" customHeight="1">
      <c r="A176" s="36"/>
      <c r="B176" s="36"/>
      <c r="C176" s="36"/>
      <c r="D176" s="36"/>
      <c r="E176" s="36"/>
      <c r="F176" s="36"/>
      <c r="G176" s="36"/>
      <c r="H176" s="36"/>
      <c r="I176" s="36"/>
      <c r="J176" s="36"/>
      <c r="K176" s="36"/>
      <c r="L176" s="36"/>
      <c r="M176" s="36"/>
      <c r="N176" s="36"/>
      <c r="O176" s="36"/>
      <c r="P176" s="36"/>
      <c r="Q176" s="36"/>
      <c r="R176" s="36"/>
      <c r="S176" s="36"/>
      <c r="T176" s="36"/>
      <c r="U176" s="36"/>
    </row>
    <row r="177" spans="1:21" ht="14.4" customHeight="1">
      <c r="A177" s="36"/>
      <c r="B177" s="36"/>
      <c r="C177" s="36"/>
      <c r="D177" s="36"/>
      <c r="E177" s="36"/>
      <c r="F177" s="36"/>
      <c r="G177" s="36"/>
      <c r="H177" s="36"/>
      <c r="I177" s="36"/>
      <c r="J177" s="36"/>
      <c r="K177" s="36"/>
      <c r="L177" s="36"/>
      <c r="M177" s="36"/>
      <c r="N177" s="36"/>
      <c r="O177" s="36"/>
      <c r="P177" s="36"/>
      <c r="Q177" s="36"/>
      <c r="R177" s="36"/>
      <c r="S177" s="36"/>
      <c r="T177" s="36"/>
      <c r="U177" s="36"/>
    </row>
    <row r="178" spans="1:21" ht="14.4" customHeight="1">
      <c r="A178" s="36"/>
      <c r="B178" s="36"/>
      <c r="C178" s="36"/>
      <c r="D178" s="36"/>
      <c r="E178" s="36"/>
      <c r="F178" s="36"/>
      <c r="G178" s="36"/>
      <c r="H178" s="36"/>
      <c r="I178" s="36"/>
      <c r="J178" s="36"/>
      <c r="K178" s="36"/>
      <c r="L178" s="36"/>
      <c r="M178" s="36"/>
      <c r="N178" s="36"/>
      <c r="O178" s="36"/>
      <c r="P178" s="36"/>
      <c r="Q178" s="36"/>
      <c r="R178" s="36"/>
      <c r="S178" s="36"/>
      <c r="T178" s="36"/>
      <c r="U178" s="36"/>
    </row>
    <row r="179" spans="1:21" ht="14.4" customHeight="1">
      <c r="A179" s="36"/>
      <c r="B179" s="36"/>
      <c r="C179" s="36"/>
      <c r="D179" s="36"/>
      <c r="E179" s="36"/>
      <c r="F179" s="36"/>
      <c r="G179" s="36"/>
      <c r="H179" s="36"/>
      <c r="I179" s="36"/>
      <c r="J179" s="36"/>
      <c r="K179" s="36"/>
      <c r="L179" s="36"/>
      <c r="M179" s="36"/>
      <c r="N179" s="36"/>
      <c r="O179" s="36"/>
      <c r="P179" s="36"/>
      <c r="Q179" s="36"/>
      <c r="R179" s="36"/>
      <c r="S179" s="36"/>
      <c r="T179" s="36"/>
      <c r="U179" s="36"/>
    </row>
    <row r="180" spans="1:21" ht="14.4" customHeight="1">
      <c r="A180" s="36"/>
      <c r="B180" s="36"/>
      <c r="C180" s="36"/>
      <c r="D180" s="36"/>
      <c r="E180" s="36"/>
      <c r="F180" s="36"/>
      <c r="G180" s="36"/>
      <c r="H180" s="36"/>
      <c r="I180" s="36"/>
      <c r="J180" s="36"/>
      <c r="K180" s="36"/>
      <c r="L180" s="36"/>
      <c r="M180" s="36"/>
      <c r="N180" s="36"/>
      <c r="O180" s="36"/>
      <c r="P180" s="36"/>
      <c r="Q180" s="36"/>
      <c r="R180" s="36"/>
      <c r="S180" s="36"/>
      <c r="T180" s="36"/>
      <c r="U180" s="36"/>
    </row>
    <row r="181" spans="1:21" ht="14.4" customHeight="1">
      <c r="A181" s="36"/>
      <c r="B181" s="36"/>
      <c r="C181" s="36"/>
      <c r="D181" s="36"/>
      <c r="E181" s="36"/>
      <c r="F181" s="36"/>
      <c r="G181" s="36"/>
      <c r="H181" s="36"/>
      <c r="I181" s="36"/>
      <c r="J181" s="36"/>
      <c r="K181" s="36"/>
      <c r="L181" s="36"/>
      <c r="M181" s="36"/>
      <c r="N181" s="36"/>
      <c r="O181" s="36"/>
      <c r="P181" s="36"/>
      <c r="Q181" s="36"/>
      <c r="R181" s="36"/>
      <c r="S181" s="36"/>
      <c r="T181" s="36"/>
      <c r="U181" s="36"/>
    </row>
    <row r="182" spans="1:21" ht="14.4" customHeight="1">
      <c r="A182" s="36"/>
      <c r="B182" s="36"/>
      <c r="C182" s="36"/>
      <c r="D182" s="36"/>
      <c r="E182" s="36"/>
      <c r="F182" s="36"/>
      <c r="G182" s="36"/>
      <c r="H182" s="36"/>
      <c r="I182" s="36"/>
      <c r="J182" s="36"/>
      <c r="K182" s="36"/>
      <c r="L182" s="36"/>
      <c r="M182" s="36"/>
      <c r="N182" s="36"/>
      <c r="O182" s="36"/>
      <c r="P182" s="36"/>
      <c r="Q182" s="36"/>
      <c r="R182" s="36"/>
      <c r="S182" s="36"/>
      <c r="T182" s="36"/>
      <c r="U182" s="36"/>
    </row>
    <row r="183" spans="1:21">
      <c r="A183" s="36"/>
      <c r="B183" s="36"/>
      <c r="C183" s="36"/>
      <c r="D183" s="36"/>
      <c r="E183" s="36"/>
      <c r="F183" s="36"/>
      <c r="G183" s="36"/>
      <c r="H183" s="36"/>
      <c r="I183" s="36"/>
      <c r="J183" s="36"/>
      <c r="K183" s="36"/>
      <c r="L183" s="36"/>
      <c r="M183" s="36"/>
      <c r="N183" s="36"/>
      <c r="O183" s="36"/>
      <c r="P183" s="36"/>
      <c r="Q183" s="36"/>
      <c r="R183" s="36"/>
      <c r="S183" s="36"/>
      <c r="T183" s="36"/>
      <c r="U183" s="36"/>
    </row>
    <row r="184" spans="1:21">
      <c r="A184" s="36"/>
      <c r="B184" s="36"/>
      <c r="C184" s="36"/>
      <c r="D184" s="36"/>
      <c r="E184" s="36"/>
      <c r="F184" s="36"/>
      <c r="G184" s="36"/>
      <c r="H184" s="36"/>
      <c r="I184" s="36"/>
      <c r="J184" s="36"/>
      <c r="K184" s="36"/>
      <c r="L184" s="36"/>
      <c r="M184" s="36"/>
      <c r="N184" s="36"/>
      <c r="O184" s="36"/>
      <c r="P184" s="36"/>
      <c r="Q184" s="36"/>
      <c r="R184" s="36"/>
      <c r="S184" s="36"/>
      <c r="T184" s="36"/>
      <c r="U184" s="36"/>
    </row>
    <row r="185" spans="1:21">
      <c r="A185" s="36"/>
      <c r="B185" s="36"/>
      <c r="C185" s="36"/>
      <c r="D185" s="36"/>
      <c r="E185" s="36"/>
      <c r="F185" s="36"/>
      <c r="G185" s="36"/>
      <c r="H185" s="36"/>
      <c r="I185" s="36"/>
      <c r="J185" s="36"/>
      <c r="K185" s="36"/>
      <c r="L185" s="36"/>
      <c r="M185" s="36"/>
      <c r="N185" s="36"/>
      <c r="O185" s="36"/>
      <c r="P185" s="36"/>
      <c r="Q185" s="36"/>
      <c r="R185" s="36"/>
      <c r="S185" s="36"/>
      <c r="T185" s="36"/>
      <c r="U185" s="36"/>
    </row>
    <row r="186" spans="1:21">
      <c r="A186" s="36"/>
      <c r="B186" s="36"/>
      <c r="C186" s="36"/>
      <c r="D186" s="36"/>
      <c r="E186" s="36"/>
      <c r="F186" s="36"/>
      <c r="G186" s="36"/>
      <c r="H186" s="36"/>
      <c r="I186" s="36"/>
      <c r="J186" s="36"/>
      <c r="K186" s="36"/>
      <c r="L186" s="36"/>
      <c r="M186" s="36"/>
      <c r="N186" s="36"/>
      <c r="O186" s="36"/>
      <c r="P186" s="36"/>
      <c r="Q186" s="36"/>
      <c r="R186" s="36"/>
      <c r="S186" s="36"/>
      <c r="T186" s="36"/>
      <c r="U186" s="36"/>
    </row>
    <row r="187" spans="1:21">
      <c r="A187" s="36"/>
      <c r="B187" s="36"/>
      <c r="C187" s="36"/>
      <c r="D187" s="36"/>
      <c r="E187" s="36"/>
      <c r="F187" s="36"/>
      <c r="G187" s="36"/>
      <c r="H187" s="36"/>
      <c r="I187" s="36"/>
      <c r="J187" s="36"/>
      <c r="K187" s="36"/>
      <c r="L187" s="36"/>
      <c r="M187" s="36"/>
      <c r="N187" s="36"/>
      <c r="O187" s="36"/>
      <c r="P187" s="36"/>
      <c r="Q187" s="36"/>
      <c r="R187" s="36"/>
      <c r="S187" s="36"/>
      <c r="T187" s="36"/>
      <c r="U187" s="36"/>
    </row>
    <row r="188" spans="1:21">
      <c r="A188" s="36"/>
      <c r="B188" s="36"/>
      <c r="C188" s="36"/>
      <c r="D188" s="36"/>
      <c r="E188" s="36"/>
      <c r="F188" s="36"/>
      <c r="G188" s="36"/>
      <c r="H188" s="36"/>
      <c r="I188" s="36"/>
      <c r="J188" s="36"/>
      <c r="K188" s="36"/>
      <c r="L188" s="36"/>
      <c r="M188" s="36"/>
      <c r="N188" s="36"/>
      <c r="O188" s="36"/>
      <c r="P188" s="36"/>
      <c r="Q188" s="36"/>
      <c r="R188" s="36"/>
      <c r="S188" s="36"/>
      <c r="T188" s="36"/>
      <c r="U188" s="36"/>
    </row>
    <row r="189" spans="1:21">
      <c r="A189" s="36"/>
      <c r="B189" s="36"/>
      <c r="C189" s="36"/>
      <c r="D189" s="36"/>
      <c r="E189" s="36"/>
      <c r="F189" s="36"/>
      <c r="G189" s="36"/>
      <c r="H189" s="36"/>
      <c r="I189" s="36"/>
      <c r="J189" s="36"/>
      <c r="K189" s="36"/>
      <c r="L189" s="36"/>
      <c r="M189" s="36"/>
      <c r="N189" s="36"/>
      <c r="O189" s="36"/>
      <c r="P189" s="36"/>
      <c r="Q189" s="36"/>
      <c r="R189" s="36"/>
      <c r="S189" s="36"/>
      <c r="T189" s="36"/>
      <c r="U189" s="36"/>
    </row>
    <row r="190" spans="1:21">
      <c r="A190" s="36"/>
      <c r="B190" s="36"/>
      <c r="C190" s="36"/>
      <c r="D190" s="36"/>
      <c r="E190" s="36"/>
      <c r="F190" s="36"/>
      <c r="G190" s="36"/>
      <c r="H190" s="36"/>
      <c r="I190" s="36"/>
      <c r="J190" s="36"/>
      <c r="K190" s="36"/>
      <c r="L190" s="36"/>
      <c r="M190" s="36"/>
      <c r="N190" s="36"/>
      <c r="O190" s="36"/>
      <c r="P190" s="36"/>
      <c r="Q190" s="36"/>
      <c r="R190" s="36"/>
      <c r="S190" s="36"/>
      <c r="T190" s="36"/>
      <c r="U190" s="36"/>
    </row>
    <row r="191" spans="1:21">
      <c r="A191" s="36"/>
      <c r="B191" s="36"/>
      <c r="C191" s="36"/>
      <c r="D191" s="36"/>
      <c r="E191" s="36"/>
      <c r="F191" s="36"/>
      <c r="G191" s="36"/>
      <c r="H191" s="36"/>
      <c r="I191" s="36"/>
      <c r="J191" s="36"/>
      <c r="K191" s="36"/>
      <c r="L191" s="36"/>
      <c r="M191" s="36"/>
      <c r="N191" s="36"/>
      <c r="O191" s="36"/>
      <c r="P191" s="36"/>
      <c r="Q191" s="36"/>
      <c r="R191" s="36"/>
      <c r="S191" s="36"/>
      <c r="T191" s="36"/>
      <c r="U191" s="36"/>
    </row>
    <row r="192" spans="1:21">
      <c r="A192" s="36"/>
      <c r="B192" s="36"/>
      <c r="C192" s="36"/>
      <c r="D192" s="36"/>
      <c r="E192" s="36"/>
      <c r="F192" s="36"/>
      <c r="G192" s="36"/>
      <c r="H192" s="36"/>
      <c r="I192" s="36"/>
      <c r="J192" s="36"/>
      <c r="K192" s="36"/>
      <c r="L192" s="36"/>
      <c r="M192" s="36"/>
      <c r="N192" s="36"/>
      <c r="O192" s="36"/>
      <c r="P192" s="36"/>
      <c r="Q192" s="36"/>
      <c r="R192" s="36"/>
      <c r="S192" s="36"/>
      <c r="T192" s="36"/>
      <c r="U192" s="36"/>
    </row>
    <row r="193" spans="1:21">
      <c r="A193" s="36"/>
      <c r="B193" s="36"/>
      <c r="C193" s="36"/>
      <c r="D193" s="36"/>
      <c r="E193" s="36"/>
      <c r="F193" s="36"/>
      <c r="G193" s="36"/>
      <c r="H193" s="36"/>
      <c r="I193" s="36"/>
      <c r="J193" s="36"/>
      <c r="K193" s="36"/>
      <c r="L193" s="36"/>
      <c r="M193" s="36"/>
      <c r="N193" s="36"/>
      <c r="O193" s="36"/>
      <c r="P193" s="36"/>
      <c r="Q193" s="36"/>
      <c r="R193" s="36"/>
      <c r="S193" s="36"/>
      <c r="T193" s="36"/>
      <c r="U193" s="36"/>
    </row>
    <row r="194" spans="1:21">
      <c r="A194" s="36"/>
      <c r="B194" s="36"/>
      <c r="C194" s="36"/>
      <c r="D194" s="36"/>
      <c r="E194" s="36"/>
      <c r="F194" s="36"/>
      <c r="G194" s="36"/>
      <c r="H194" s="36"/>
      <c r="I194" s="36"/>
      <c r="J194" s="36"/>
      <c r="K194" s="36"/>
      <c r="L194" s="36"/>
      <c r="M194" s="36"/>
      <c r="N194" s="36"/>
      <c r="O194" s="36"/>
      <c r="P194" s="36"/>
      <c r="Q194" s="36"/>
      <c r="R194" s="36"/>
      <c r="S194" s="36"/>
      <c r="T194" s="36"/>
      <c r="U194" s="36"/>
    </row>
    <row r="195" spans="1:21">
      <c r="A195" s="36"/>
      <c r="B195" s="36"/>
      <c r="C195" s="36"/>
      <c r="D195" s="36"/>
      <c r="E195" s="36"/>
      <c r="F195" s="36"/>
      <c r="G195" s="36"/>
      <c r="H195" s="36"/>
      <c r="I195" s="36"/>
      <c r="J195" s="36"/>
      <c r="K195" s="36"/>
      <c r="L195" s="36"/>
      <c r="M195" s="36"/>
      <c r="N195" s="36"/>
      <c r="O195" s="36"/>
      <c r="P195" s="36"/>
      <c r="Q195" s="36"/>
      <c r="R195" s="36"/>
      <c r="S195" s="36"/>
      <c r="T195" s="36"/>
      <c r="U195" s="36"/>
    </row>
    <row r="196" spans="1:21">
      <c r="A196" s="36"/>
      <c r="B196" s="36"/>
      <c r="C196" s="36"/>
      <c r="D196" s="36"/>
      <c r="E196" s="36"/>
      <c r="F196" s="36"/>
      <c r="G196" s="36"/>
      <c r="H196" s="36"/>
      <c r="I196" s="36"/>
      <c r="J196" s="36"/>
      <c r="K196" s="36"/>
      <c r="L196" s="36"/>
      <c r="M196" s="36"/>
      <c r="N196" s="36"/>
      <c r="O196" s="36"/>
      <c r="P196" s="36"/>
      <c r="Q196" s="36"/>
      <c r="R196" s="36"/>
      <c r="S196" s="36"/>
      <c r="T196" s="36"/>
      <c r="U196" s="36"/>
    </row>
    <row r="197" spans="1:21">
      <c r="A197" s="36"/>
      <c r="B197" s="36"/>
      <c r="C197" s="36"/>
      <c r="D197" s="36"/>
      <c r="E197" s="36"/>
      <c r="F197" s="36"/>
      <c r="G197" s="36"/>
      <c r="H197" s="36"/>
      <c r="I197" s="36"/>
      <c r="J197" s="36"/>
      <c r="K197" s="36"/>
      <c r="L197" s="36"/>
      <c r="M197" s="36"/>
      <c r="N197" s="36"/>
      <c r="O197" s="36"/>
      <c r="P197" s="36"/>
      <c r="Q197" s="36"/>
      <c r="R197" s="36"/>
      <c r="S197" s="36"/>
      <c r="T197" s="36"/>
      <c r="U197" s="36"/>
    </row>
    <row r="198" spans="1:21">
      <c r="A198" s="36"/>
      <c r="B198" s="36"/>
      <c r="C198" s="36"/>
      <c r="D198" s="36"/>
      <c r="E198" s="36"/>
      <c r="F198" s="36"/>
      <c r="G198" s="36"/>
      <c r="H198" s="36"/>
      <c r="I198" s="36"/>
      <c r="J198" s="36"/>
      <c r="K198" s="36"/>
      <c r="L198" s="36"/>
      <c r="M198" s="36"/>
      <c r="N198" s="36"/>
      <c r="O198" s="36"/>
      <c r="P198" s="36"/>
      <c r="Q198" s="36"/>
      <c r="R198" s="36"/>
      <c r="S198" s="36"/>
      <c r="T198" s="36"/>
      <c r="U198" s="36"/>
    </row>
    <row r="199" spans="1:21">
      <c r="A199" s="36"/>
      <c r="B199" s="36"/>
      <c r="C199" s="36"/>
      <c r="D199" s="36"/>
      <c r="E199" s="36"/>
      <c r="F199" s="36"/>
      <c r="G199" s="36"/>
      <c r="H199" s="36"/>
      <c r="I199" s="36"/>
      <c r="J199" s="36"/>
      <c r="K199" s="36"/>
      <c r="L199" s="36"/>
      <c r="M199" s="36"/>
      <c r="N199" s="36"/>
      <c r="O199" s="36"/>
      <c r="P199" s="36"/>
      <c r="Q199" s="36"/>
      <c r="R199" s="36"/>
      <c r="S199" s="36"/>
      <c r="T199" s="36"/>
      <c r="U199" s="36"/>
    </row>
    <row r="200" spans="1:21">
      <c r="A200" s="36"/>
      <c r="B200" s="36"/>
      <c r="C200" s="36"/>
      <c r="D200" s="36"/>
      <c r="E200" s="36"/>
      <c r="F200" s="36"/>
      <c r="G200" s="36"/>
      <c r="H200" s="36"/>
      <c r="I200" s="36"/>
      <c r="J200" s="36"/>
      <c r="K200" s="36"/>
      <c r="L200" s="36"/>
      <c r="M200" s="36"/>
      <c r="N200" s="36"/>
      <c r="O200" s="36"/>
      <c r="P200" s="36"/>
      <c r="Q200" s="36"/>
      <c r="R200" s="36"/>
      <c r="S200" s="36"/>
      <c r="T200" s="36"/>
      <c r="U200" s="36"/>
    </row>
  </sheetData>
  <mergeCells count="72">
    <mergeCell ref="P1:T1"/>
    <mergeCell ref="A1:C1"/>
    <mergeCell ref="D1:E1"/>
    <mergeCell ref="F1:G1"/>
    <mergeCell ref="H1:J1"/>
    <mergeCell ref="K1:O1"/>
    <mergeCell ref="P33:T33"/>
    <mergeCell ref="A18:C18"/>
    <mergeCell ref="D18:E18"/>
    <mergeCell ref="F18:G18"/>
    <mergeCell ref="H18:J18"/>
    <mergeCell ref="K18:O18"/>
    <mergeCell ref="P18:T18"/>
    <mergeCell ref="A33:C33"/>
    <mergeCell ref="D33:E33"/>
    <mergeCell ref="F33:G33"/>
    <mergeCell ref="H33:J33"/>
    <mergeCell ref="K33:O33"/>
    <mergeCell ref="P63:T63"/>
    <mergeCell ref="A48:C48"/>
    <mergeCell ref="D48:E48"/>
    <mergeCell ref="F48:G48"/>
    <mergeCell ref="H48:J48"/>
    <mergeCell ref="K48:O48"/>
    <mergeCell ref="P48:T48"/>
    <mergeCell ref="A63:C63"/>
    <mergeCell ref="D63:E63"/>
    <mergeCell ref="F63:G63"/>
    <mergeCell ref="H63:J63"/>
    <mergeCell ref="K63:O63"/>
    <mergeCell ref="P93:T93"/>
    <mergeCell ref="A78:C78"/>
    <mergeCell ref="D78:E78"/>
    <mergeCell ref="F78:G78"/>
    <mergeCell ref="H78:J78"/>
    <mergeCell ref="K78:O78"/>
    <mergeCell ref="P78:T78"/>
    <mergeCell ref="A93:C93"/>
    <mergeCell ref="D93:E93"/>
    <mergeCell ref="F93:G93"/>
    <mergeCell ref="H93:J93"/>
    <mergeCell ref="K93:O93"/>
    <mergeCell ref="A158:U200"/>
    <mergeCell ref="W3:Z5"/>
    <mergeCell ref="W20:Z22"/>
    <mergeCell ref="W34:Z36"/>
    <mergeCell ref="W49:Z51"/>
    <mergeCell ref="W64:Z66"/>
    <mergeCell ref="W79:Z81"/>
    <mergeCell ref="A138:C138"/>
    <mergeCell ref="D138:E138"/>
    <mergeCell ref="F138:G138"/>
    <mergeCell ref="H138:J138"/>
    <mergeCell ref="K138:O138"/>
    <mergeCell ref="P138:T138"/>
    <mergeCell ref="A123:C123"/>
    <mergeCell ref="D123:E123"/>
    <mergeCell ref="F123:G123"/>
    <mergeCell ref="W94:Z96"/>
    <mergeCell ref="W110:Z112"/>
    <mergeCell ref="W124:Z126"/>
    <mergeCell ref="W140:Z142"/>
    <mergeCell ref="A153:E156"/>
    <mergeCell ref="H123:J123"/>
    <mergeCell ref="K123:O123"/>
    <mergeCell ref="P123:T123"/>
    <mergeCell ref="A108:C108"/>
    <mergeCell ref="D108:E108"/>
    <mergeCell ref="F108:G108"/>
    <mergeCell ref="H108:J108"/>
    <mergeCell ref="K108:O108"/>
    <mergeCell ref="P108:T10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CE744-484F-4072-BAEB-467DE0EEE896}">
  <dimension ref="A1:C14"/>
  <sheetViews>
    <sheetView workbookViewId="0">
      <selection activeCell="A13" sqref="A13:B14"/>
    </sheetView>
  </sheetViews>
  <sheetFormatPr defaultRowHeight="14.4"/>
  <sheetData>
    <row r="1" spans="1:3" ht="15.6">
      <c r="A1" s="11" t="s">
        <v>25</v>
      </c>
      <c r="B1" s="11" t="s">
        <v>26</v>
      </c>
      <c r="C1" s="11" t="s">
        <v>30</v>
      </c>
    </row>
    <row r="2" spans="1:3">
      <c r="A2" s="12">
        <v>0.1</v>
      </c>
      <c r="B2" s="12">
        <v>0.1</v>
      </c>
      <c r="C2" s="12">
        <v>1</v>
      </c>
    </row>
    <row r="3" spans="1:3">
      <c r="A3" s="12">
        <v>0.5</v>
      </c>
      <c r="B3" s="12">
        <v>0.5</v>
      </c>
      <c r="C3" s="12">
        <v>1</v>
      </c>
    </row>
    <row r="4" spans="1:3">
      <c r="A4" s="12">
        <v>0.9</v>
      </c>
      <c r="B4" s="12">
        <v>0.1</v>
      </c>
      <c r="C4" s="12">
        <v>1</v>
      </c>
    </row>
    <row r="5" spans="1:3">
      <c r="A5" s="12">
        <v>0.2</v>
      </c>
      <c r="B5" s="12">
        <v>0.8</v>
      </c>
      <c r="C5" s="12">
        <v>1</v>
      </c>
    </row>
    <row r="6" spans="1:3">
      <c r="A6" s="12">
        <v>0.6</v>
      </c>
      <c r="B6" s="12">
        <v>0.9</v>
      </c>
      <c r="C6" s="12">
        <v>0</v>
      </c>
    </row>
    <row r="7" spans="1:3">
      <c r="A7" s="12">
        <v>1</v>
      </c>
      <c r="B7" s="12">
        <v>1</v>
      </c>
      <c r="C7" s="12">
        <v>0</v>
      </c>
    </row>
    <row r="8" spans="1:3">
      <c r="A8" s="12">
        <v>0.3</v>
      </c>
      <c r="B8" s="12">
        <v>1.2</v>
      </c>
      <c r="C8" s="12">
        <v>0</v>
      </c>
    </row>
    <row r="9" spans="1:3">
      <c r="A9" s="12">
        <v>-0.1</v>
      </c>
      <c r="B9" s="12">
        <v>-0.1</v>
      </c>
      <c r="C9" s="12">
        <v>1</v>
      </c>
    </row>
    <row r="10" spans="1:3">
      <c r="A10" s="12">
        <v>-0.5</v>
      </c>
      <c r="B10" s="12">
        <v>-0.5</v>
      </c>
      <c r="C10" s="12">
        <v>1</v>
      </c>
    </row>
    <row r="11" spans="1:3">
      <c r="A11" s="12">
        <v>-1</v>
      </c>
      <c r="B11" s="12">
        <v>-1</v>
      </c>
      <c r="C11" s="12">
        <v>0</v>
      </c>
    </row>
    <row r="13" spans="1:3">
      <c r="A13" s="14" t="s">
        <v>31</v>
      </c>
      <c r="B13" s="15"/>
    </row>
    <row r="14" spans="1:3">
      <c r="A14" s="16" t="s">
        <v>32</v>
      </c>
      <c r="B14"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ALFIA DAMAYANTI</dc:creator>
  <cp:lastModifiedBy>ALFIA DAMAYANTI</cp:lastModifiedBy>
  <dcterms:created xsi:type="dcterms:W3CDTF">2025-04-29T07:21:37Z</dcterms:created>
  <dcterms:modified xsi:type="dcterms:W3CDTF">2025-05-06T08:21:28Z</dcterms:modified>
</cp:coreProperties>
</file>